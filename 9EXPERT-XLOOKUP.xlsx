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ol Legion 5\Desktop\VLOOKUP-HLOOKUP-XLOOKUP-Tutorial\"/>
    </mc:Choice>
  </mc:AlternateContent>
  <xr:revisionPtr revIDLastSave="0" documentId="13_ncr:1_{3BA1ACCF-38B2-4681-86FA-F9B02E45953B}" xr6:coauthVersionLast="47" xr6:coauthVersionMax="47" xr10:uidLastSave="{00000000-0000-0000-0000-000000000000}"/>
  <bookViews>
    <workbookView xWindow="-5385" yWindow="-21720" windowWidth="38640" windowHeight="21120" xr2:uid="{379EF9AB-1D7F-4A8F-8D31-4293C1E6520C}"/>
  </bookViews>
  <sheets>
    <sheet name="9EXPERT ORDERS" sheetId="1" r:id="rId1"/>
    <sheet name="PRODUCTS" sheetId="2" r:id="rId2"/>
    <sheet name="CUSTOMERS" sheetId="3" r:id="rId3"/>
    <sheet name="SUPPLIERS" sheetId="4" r:id="rId4"/>
  </sheets>
  <definedNames>
    <definedName name="_xlnm._FilterDatabase" localSheetId="2" hidden="1">CUSTOMERS!#REF!</definedName>
    <definedName name="_xlnm._FilterDatabase" localSheetId="1" hidden="1">PRODUCTS!$A$1:$H$78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Chalaivate Pipatpannawong</author>
  </authors>
  <commentList>
    <comment ref="A1" authorId="0" shapeId="0" xr:uid="{047E382A-DA68-4C08-B367-3504104BD957}">
      <text>
        <r>
          <rPr>
            <b/>
            <sz val="9"/>
            <color indexed="81"/>
            <rFont val="Tahoma"/>
            <family val="2"/>
          </rPr>
          <t>Product Code
ตัวเลขตัวแรก คือ กลุ่มสินค้า
1-101
คือสินค้ากลุ่ม 1 ซึ่งเป็น Beverage</t>
        </r>
      </text>
    </comment>
  </commentList>
</comments>
</file>

<file path=xl/sharedStrings.xml><?xml version="1.0" encoding="utf-8"?>
<sst xmlns="http://schemas.openxmlformats.org/spreadsheetml/2006/main" count="1111" uniqueCount="808">
  <si>
    <t>OrderID</t>
  </si>
  <si>
    <t>OrderDate</t>
  </si>
  <si>
    <t>CustomerID</t>
  </si>
  <si>
    <t>Customer</t>
  </si>
  <si>
    <t>Phone</t>
  </si>
  <si>
    <t>ProductID</t>
  </si>
  <si>
    <t>Product</t>
  </si>
  <si>
    <t>UnitInStocks</t>
  </si>
  <si>
    <t>Quantity</t>
  </si>
  <si>
    <t>Cost</t>
  </si>
  <si>
    <t>UnitPrice</t>
  </si>
  <si>
    <t>Discount</t>
  </si>
  <si>
    <t>9EXPERT</t>
  </si>
  <si>
    <t>4-123</t>
  </si>
  <si>
    <t>4-168</t>
  </si>
  <si>
    <t>5-159</t>
  </si>
  <si>
    <t>TOMSP</t>
  </si>
  <si>
    <t>1-136</t>
  </si>
  <si>
    <t>7-125</t>
  </si>
  <si>
    <t>7-159</t>
  </si>
  <si>
    <t>HANAR</t>
  </si>
  <si>
    <t>2-125</t>
  </si>
  <si>
    <t>8-141</t>
  </si>
  <si>
    <t>LEHMS</t>
  </si>
  <si>
    <t>5-174</t>
  </si>
  <si>
    <t>VICTE</t>
  </si>
  <si>
    <t>5-102</t>
  </si>
  <si>
    <t>5-105</t>
  </si>
  <si>
    <t>SUPRD</t>
  </si>
  <si>
    <t>3-199</t>
  </si>
  <si>
    <t>4-124</t>
  </si>
  <si>
    <t>4-125</t>
  </si>
  <si>
    <t>1-196</t>
  </si>
  <si>
    <t>3-123</t>
  </si>
  <si>
    <t>4-121</t>
  </si>
  <si>
    <t>5-186</t>
  </si>
  <si>
    <t>CHOPS</t>
  </si>
  <si>
    <t>1-101</t>
  </si>
  <si>
    <t>6-152</t>
  </si>
  <si>
    <t>7-100</t>
  </si>
  <si>
    <t>RICSU</t>
  </si>
  <si>
    <t>1-105</t>
  </si>
  <si>
    <t>3-101</t>
  </si>
  <si>
    <t>4-133</t>
  </si>
  <si>
    <t>8-120</t>
  </si>
  <si>
    <t>Product Code</t>
  </si>
  <si>
    <t>SupplierID</t>
  </si>
  <si>
    <t>UnitsInStock</t>
  </si>
  <si>
    <t>ReorderLevel</t>
  </si>
  <si>
    <t>Discontinued</t>
  </si>
  <si>
    <t>Chai</t>
  </si>
  <si>
    <t>Chang</t>
  </si>
  <si>
    <t>1-106</t>
  </si>
  <si>
    <t>Guaran Fantastica</t>
  </si>
  <si>
    <t>1-108</t>
  </si>
  <si>
    <t>Lakkalikri</t>
  </si>
  <si>
    <t>1-121</t>
  </si>
  <si>
    <t>Rhnbru Klosterbier</t>
  </si>
  <si>
    <t>1-129</t>
  </si>
  <si>
    <t>Outback Lager</t>
  </si>
  <si>
    <t>1-132</t>
  </si>
  <si>
    <t>Laughing Lumberjack Lager</t>
  </si>
  <si>
    <t>Côtes de Blaye</t>
  </si>
  <si>
    <t>1-140</t>
  </si>
  <si>
    <t>Sasquatch Ale</t>
  </si>
  <si>
    <t>1-189</t>
  </si>
  <si>
    <t>Steeleye Stout</t>
  </si>
  <si>
    <t>1-190</t>
  </si>
  <si>
    <t>Ipoh Coffee</t>
  </si>
  <si>
    <t>Chartreuse verte</t>
  </si>
  <si>
    <t>2-101</t>
  </si>
  <si>
    <t>Northwoods Cranberry Sauce</t>
  </si>
  <si>
    <t>2-102</t>
  </si>
  <si>
    <t>Sirop d'rable</t>
  </si>
  <si>
    <t>2-112</t>
  </si>
  <si>
    <t>Louisiana Hot Spiced Okra</t>
  </si>
  <si>
    <t>2-113</t>
  </si>
  <si>
    <t>Aniseed Syrup</t>
  </si>
  <si>
    <t>Louisiana Fiery Hot Pepper Sauce</t>
  </si>
  <si>
    <t>2-134</t>
  </si>
  <si>
    <t>Chef Anton's Cajun Seasoning</t>
  </si>
  <si>
    <t>2-147</t>
  </si>
  <si>
    <t>Vegie-spread</t>
  </si>
  <si>
    <t>2-148</t>
  </si>
  <si>
    <t>Chef Anton's Gumbo Mix</t>
  </si>
  <si>
    <t>2-152</t>
  </si>
  <si>
    <t>Genen Shouyu</t>
  </si>
  <si>
    <t>2-165</t>
  </si>
  <si>
    <t>Grandma's Boysenberry Spread</t>
  </si>
  <si>
    <t>2-191</t>
  </si>
  <si>
    <t>Gula Malacca</t>
  </si>
  <si>
    <t>2-199</t>
  </si>
  <si>
    <t>Original Frankfurter grne Soe</t>
  </si>
  <si>
    <t>Pavlova</t>
  </si>
  <si>
    <t>3-105</t>
  </si>
  <si>
    <t>Zaanse koeken</t>
  </si>
  <si>
    <t>3-120</t>
  </si>
  <si>
    <t>Chocolade</t>
  </si>
  <si>
    <t>3-122</t>
  </si>
  <si>
    <t>NuNuCa Nu-Nougat-Creme</t>
  </si>
  <si>
    <t>Maxilaku</t>
  </si>
  <si>
    <t>3-127</t>
  </si>
  <si>
    <t>Sir Rodney's Scones</t>
  </si>
  <si>
    <t>3-132</t>
  </si>
  <si>
    <t>Valkoinen suklaa</t>
  </si>
  <si>
    <t>3-169</t>
  </si>
  <si>
    <t>Scottish Longbreads</t>
  </si>
  <si>
    <t>3-173</t>
  </si>
  <si>
    <t>Tarte au sucre</t>
  </si>
  <si>
    <t>3-176</t>
  </si>
  <si>
    <t>Gumbr Gummibrchen</t>
  </si>
  <si>
    <t>3-184</t>
  </si>
  <si>
    <t>Schoggi Schokolade</t>
  </si>
  <si>
    <t>3-196</t>
  </si>
  <si>
    <t>Teatime Chocolate Biscuits</t>
  </si>
  <si>
    <t>Sir Rodney's Marmalade</t>
  </si>
  <si>
    <t>4-101</t>
  </si>
  <si>
    <t>Queso Manchego La Pastora</t>
  </si>
  <si>
    <t>4-113</t>
  </si>
  <si>
    <t>Fltemysost</t>
  </si>
  <si>
    <t>Gorgonzola Telino</t>
  </si>
  <si>
    <t>9EXPERT PRODUCT</t>
  </si>
  <si>
    <t>Camembert Pierrot</t>
  </si>
  <si>
    <t>Geitost</t>
  </si>
  <si>
    <t>Raclette Courdavault</t>
  </si>
  <si>
    <t>4-138</t>
  </si>
  <si>
    <t>Mascarpone Fabioli</t>
  </si>
  <si>
    <t>Mozzarella di Giovanni</t>
  </si>
  <si>
    <t>4-199</t>
  </si>
  <si>
    <t>Gudbrandsdalsost</t>
  </si>
  <si>
    <t>Ravioli Angelo</t>
  </si>
  <si>
    <t>Gustaf's Knckebrd</t>
  </si>
  <si>
    <t>5-129</t>
  </si>
  <si>
    <t>Wimmers gute Semmelkndel</t>
  </si>
  <si>
    <t>5-150</t>
  </si>
  <si>
    <t>Gnocchi di nonna Alice</t>
  </si>
  <si>
    <t>Singaporean Hokkien Fried</t>
  </si>
  <si>
    <t>Filo Mix</t>
  </si>
  <si>
    <t>Tunnbrd</t>
  </si>
  <si>
    <t>6-110</t>
  </si>
  <si>
    <t>Perth Pasties</t>
  </si>
  <si>
    <t>Pt chinois</t>
  </si>
  <si>
    <t>6-166</t>
  </si>
  <si>
    <t>Tourtire</t>
  </si>
  <si>
    <t>6-174</t>
  </si>
  <si>
    <t>Mishi Kobe Niku</t>
  </si>
  <si>
    <t>6-196</t>
  </si>
  <si>
    <t>Thringer Rostbratwurst</t>
  </si>
  <si>
    <t>6-197</t>
  </si>
  <si>
    <t>Alice Mutton</t>
  </si>
  <si>
    <t>Longlife Tofu</t>
  </si>
  <si>
    <t>Tofu</t>
  </si>
  <si>
    <t>7-149</t>
  </si>
  <si>
    <t>Rssle Sauerkraut</t>
  </si>
  <si>
    <t>Manjimup Dried Apples</t>
  </si>
  <si>
    <t>7-182</t>
  </si>
  <si>
    <t>Uncle Bob's Organic Dried Pears</t>
  </si>
  <si>
    <t>8-101</t>
  </si>
  <si>
    <t>Ikura</t>
  </si>
  <si>
    <t>8-105</t>
  </si>
  <si>
    <t>Gravad lax</t>
  </si>
  <si>
    <t>Inlagd Sill</t>
  </si>
  <si>
    <t>8-129</t>
  </si>
  <si>
    <t>Carnarvon Tigers</t>
  </si>
  <si>
    <t>8-130</t>
  </si>
  <si>
    <t>Rgede sild</t>
  </si>
  <si>
    <t xml:space="preserve">Jack's New England Clam </t>
  </si>
  <si>
    <t>8-159</t>
  </si>
  <si>
    <t>Boston Crab Meat</t>
  </si>
  <si>
    <t>8-162</t>
  </si>
  <si>
    <t>Nord-Ost Matjeshering</t>
  </si>
  <si>
    <t>8-173</t>
  </si>
  <si>
    <t>Konbu</t>
  </si>
  <si>
    <t>8-176</t>
  </si>
  <si>
    <t>Escargots de Bourgogne</t>
  </si>
  <si>
    <t>8-185</t>
  </si>
  <si>
    <t>Rd Kaviar</t>
  </si>
  <si>
    <t>8-194</t>
  </si>
  <si>
    <t>Spegesild</t>
  </si>
  <si>
    <t>CompanyName</t>
  </si>
  <si>
    <t>ContactName</t>
  </si>
  <si>
    <t>ContactTitle</t>
  </si>
  <si>
    <t>City</t>
  </si>
  <si>
    <t>Country</t>
  </si>
  <si>
    <t>9Expert Co., Ltd.</t>
  </si>
  <si>
    <t xml:space="preserve">Natnaree </t>
  </si>
  <si>
    <t>Sales Representative</t>
  </si>
  <si>
    <t>Ratchatawi</t>
  </si>
  <si>
    <t>Thailand</t>
  </si>
  <si>
    <t>022194304</t>
  </si>
  <si>
    <t>ANATR</t>
  </si>
  <si>
    <t>Ana Trujillo Emparedados y helados</t>
  </si>
  <si>
    <t>Ana Trujillo</t>
  </si>
  <si>
    <t>Owner</t>
  </si>
  <si>
    <t>México D.F.</t>
  </si>
  <si>
    <t>Mexico</t>
  </si>
  <si>
    <t>(5) 555-4729</t>
  </si>
  <si>
    <t>ANTON</t>
  </si>
  <si>
    <t>Antonio Moreno Taquería</t>
  </si>
  <si>
    <t>Antonio Moreno</t>
  </si>
  <si>
    <t>(5) 555-3932</t>
  </si>
  <si>
    <t>AROUT</t>
  </si>
  <si>
    <t>Around the Horn</t>
  </si>
  <si>
    <t>Thomas Hardy</t>
  </si>
  <si>
    <t>London</t>
  </si>
  <si>
    <t>UK</t>
  </si>
  <si>
    <t>(171) 555-7788</t>
  </si>
  <si>
    <t>ASIAS</t>
  </si>
  <si>
    <t>Asian Seafoods PLC.</t>
  </si>
  <si>
    <t>Sirirat Sriwarunyu</t>
  </si>
  <si>
    <t>Sales Manager</t>
  </si>
  <si>
    <t>Nonthaburi</t>
  </si>
  <si>
    <t>(662) 589-2137</t>
  </si>
  <si>
    <t>BERGS</t>
  </si>
  <si>
    <t>Berglunds snabbköp</t>
  </si>
  <si>
    <t>Christina Berglund</t>
  </si>
  <si>
    <t>Order Administrator</t>
  </si>
  <si>
    <t>Luleå</t>
  </si>
  <si>
    <t>Sweden</t>
  </si>
  <si>
    <t>0921-12 34 65</t>
  </si>
  <si>
    <t>BLAUS</t>
  </si>
  <si>
    <t>Blauer See Delikatessen</t>
  </si>
  <si>
    <t>Hanna Moos</t>
  </si>
  <si>
    <t>Mannheim</t>
  </si>
  <si>
    <t>Germany</t>
  </si>
  <si>
    <t>0621-08460</t>
  </si>
  <si>
    <t>BLONP</t>
  </si>
  <si>
    <t>Blondel père et fils</t>
  </si>
  <si>
    <t>Frédérique Citeaux</t>
  </si>
  <si>
    <t>Marketing Manager</t>
  </si>
  <si>
    <t>Strasbourg</t>
  </si>
  <si>
    <t>France</t>
  </si>
  <si>
    <t>88.60.15.31</t>
  </si>
  <si>
    <t>BOLID</t>
  </si>
  <si>
    <t>Bólido Comidas preparadas</t>
  </si>
  <si>
    <t>Martín Sommer</t>
  </si>
  <si>
    <t>Madrid</t>
  </si>
  <si>
    <t>Spain</t>
  </si>
  <si>
    <t>(91) 555 22 82</t>
  </si>
  <si>
    <t>BONAP</t>
  </si>
  <si>
    <t>Bon app'</t>
  </si>
  <si>
    <t>Laurence Lebihan</t>
  </si>
  <si>
    <t>Marseille</t>
  </si>
  <si>
    <t>91.24.45.40</t>
  </si>
  <si>
    <t>BOTTM</t>
  </si>
  <si>
    <t>Bottom-Dollar Markets</t>
  </si>
  <si>
    <t>Elizabeth Lincoln</t>
  </si>
  <si>
    <t>Accounting Manager</t>
  </si>
  <si>
    <t>Tsawwassen</t>
  </si>
  <si>
    <t>Canada</t>
  </si>
  <si>
    <t>(604) 555-4729</t>
  </si>
  <si>
    <t>BSBEV</t>
  </si>
  <si>
    <t>B's Beverages</t>
  </si>
  <si>
    <t>Victoria Ashworth</t>
  </si>
  <si>
    <t>(171) 555-1212</t>
  </si>
  <si>
    <t>CACTU</t>
  </si>
  <si>
    <t>Cactus Comidas para llevar</t>
  </si>
  <si>
    <t>Patricio Simpson</t>
  </si>
  <si>
    <t>Sales Agent</t>
  </si>
  <si>
    <t>Buenos Aires</t>
  </si>
  <si>
    <t>Argentina</t>
  </si>
  <si>
    <t>(1) 135-5555</t>
  </si>
  <si>
    <t>CENTC</t>
  </si>
  <si>
    <t>Centro comercial Moctezuma</t>
  </si>
  <si>
    <t>Francisco Chang</t>
  </si>
  <si>
    <t>(5) 555-3392</t>
  </si>
  <si>
    <t>CHIAF</t>
  </si>
  <si>
    <t>Chiangmai Foods PLC.</t>
  </si>
  <si>
    <t>Thitima Arunsawad</t>
  </si>
  <si>
    <t>Bangkok</t>
  </si>
  <si>
    <t>(662) 233-1731</t>
  </si>
  <si>
    <t>Chop-suey Chinese</t>
  </si>
  <si>
    <t>Yang Wang</t>
  </si>
  <si>
    <t>Bern</t>
  </si>
  <si>
    <t>Switzerland</t>
  </si>
  <si>
    <t>0452-076545</t>
  </si>
  <si>
    <t>COMMI</t>
  </si>
  <si>
    <t>Comércio Mineiro</t>
  </si>
  <si>
    <t>Pedro Afonso</t>
  </si>
  <si>
    <t>Sales Associate</t>
  </si>
  <si>
    <t>São Paulo</t>
  </si>
  <si>
    <t>Brazil</t>
  </si>
  <si>
    <t>(11) 555-7647</t>
  </si>
  <si>
    <t>CONSH</t>
  </si>
  <si>
    <t>Consolidated Holdings</t>
  </si>
  <si>
    <t>Elizabeth Brown</t>
  </si>
  <si>
    <t>(171) 555-2282</t>
  </si>
  <si>
    <t>DRACD</t>
  </si>
  <si>
    <t>Drachenblut Delikatessen</t>
  </si>
  <si>
    <t>Sven Ottlieb</t>
  </si>
  <si>
    <t>Aachen</t>
  </si>
  <si>
    <t>0241-039123</t>
  </si>
  <si>
    <t>DUMON</t>
  </si>
  <si>
    <t>Du monde entier</t>
  </si>
  <si>
    <t>Janine Labrune</t>
  </si>
  <si>
    <t>Nantes</t>
  </si>
  <si>
    <t>40.67.88.88</t>
  </si>
  <si>
    <t>EASTC</t>
  </si>
  <si>
    <t>Eastern Connection</t>
  </si>
  <si>
    <t>Ann Devon</t>
  </si>
  <si>
    <t>(171) 555-0297</t>
  </si>
  <si>
    <t>ERNSH</t>
  </si>
  <si>
    <t>Ernst Handel</t>
  </si>
  <si>
    <t>Roland Mendel</t>
  </si>
  <si>
    <t>Graz</t>
  </si>
  <si>
    <t>Austria</t>
  </si>
  <si>
    <t>7675-3425</t>
  </si>
  <si>
    <t>FAMIA</t>
  </si>
  <si>
    <t>Familia Arquibaldo</t>
  </si>
  <si>
    <t>Aria Cruz</t>
  </si>
  <si>
    <t>Marketing Assistant</t>
  </si>
  <si>
    <t>(11) 555-9857</t>
  </si>
  <si>
    <t>FISSA</t>
  </si>
  <si>
    <t>FISSA Fabrica Inter. Salchichas S.A.</t>
  </si>
  <si>
    <t>Diego Roel</t>
  </si>
  <si>
    <t>(91) 555 94 44</t>
  </si>
  <si>
    <t>FOLIG</t>
  </si>
  <si>
    <t>Folies gourmandes</t>
  </si>
  <si>
    <t>Martine Rancé</t>
  </si>
  <si>
    <t>Assistant Sales Agent</t>
  </si>
  <si>
    <t>Lille</t>
  </si>
  <si>
    <t>20.16.10.16</t>
  </si>
  <si>
    <t>FOLKO</t>
  </si>
  <si>
    <t>Folk och fä HB</t>
  </si>
  <si>
    <t>Maria Larsson</t>
  </si>
  <si>
    <t>Bräcke</t>
  </si>
  <si>
    <t>0695-34 67 21</t>
  </si>
  <si>
    <t>FRANK</t>
  </si>
  <si>
    <t>Frankenversand</t>
  </si>
  <si>
    <t>Peter Franken</t>
  </si>
  <si>
    <t>München</t>
  </si>
  <si>
    <t>089-0877310</t>
  </si>
  <si>
    <t>FRANR</t>
  </si>
  <si>
    <t>France restauration</t>
  </si>
  <si>
    <t>Carine Schmitt</t>
  </si>
  <si>
    <t>40.32.21.21</t>
  </si>
  <si>
    <t>FRANS</t>
  </si>
  <si>
    <t>Franchi S.p.A.</t>
  </si>
  <si>
    <t>Paolo Accorti</t>
  </si>
  <si>
    <t>Torino</t>
  </si>
  <si>
    <t>Italy</t>
  </si>
  <si>
    <t>011-4988260</t>
  </si>
  <si>
    <t>FURIB</t>
  </si>
  <si>
    <t>Furia Bacalhau e Frutos do Mar</t>
  </si>
  <si>
    <t>Lino Rodriguez</t>
  </si>
  <si>
    <t>Lisbon</t>
  </si>
  <si>
    <t>Portugal</t>
  </si>
  <si>
    <t>(1) 354-2534</t>
  </si>
  <si>
    <t>GALED</t>
  </si>
  <si>
    <t>Galería del gastrónomo</t>
  </si>
  <si>
    <t>Eduardo Saavedra</t>
  </si>
  <si>
    <t>Barcelona</t>
  </si>
  <si>
    <t>(93) 203 4560</t>
  </si>
  <si>
    <t>GODOS</t>
  </si>
  <si>
    <t>Godos Cocina Típica</t>
  </si>
  <si>
    <t>José Pedro Freyre</t>
  </si>
  <si>
    <t>Sevilla</t>
  </si>
  <si>
    <t>(95) 555 82 82</t>
  </si>
  <si>
    <t>GOURL</t>
  </si>
  <si>
    <t>Gourmet Lanchonetes</t>
  </si>
  <si>
    <t>André Fonseca</t>
  </si>
  <si>
    <t>Campinas</t>
  </si>
  <si>
    <t>(11) 555-9482</t>
  </si>
  <si>
    <t>GREAL</t>
  </si>
  <si>
    <t>Great Lakes Food Market</t>
  </si>
  <si>
    <t>Howard Snyder</t>
  </si>
  <si>
    <t>Eugene</t>
  </si>
  <si>
    <t>USA</t>
  </si>
  <si>
    <t>(503) 555-7555</t>
  </si>
  <si>
    <t>GROSR</t>
  </si>
  <si>
    <t>GROSELLA-Restaurante</t>
  </si>
  <si>
    <t>Manuel Pereira</t>
  </si>
  <si>
    <t>Caracas</t>
  </si>
  <si>
    <t>Venezuela</t>
  </si>
  <si>
    <t>(2) 283-2951</t>
  </si>
  <si>
    <t>Hanari Carnes</t>
  </si>
  <si>
    <t>Mario Pontes</t>
  </si>
  <si>
    <t>Rio de Janeiro</t>
  </si>
  <si>
    <t>(21) 555-0091</t>
  </si>
  <si>
    <t>HILAA</t>
  </si>
  <si>
    <t>HILARIÓN-Abastos</t>
  </si>
  <si>
    <t>Carlos Hernández</t>
  </si>
  <si>
    <t>San Cristóbal (Venezuela)</t>
  </si>
  <si>
    <t>(5) 555-1340</t>
  </si>
  <si>
    <t>HUNGC</t>
  </si>
  <si>
    <t>Hungry Coyote Import Store</t>
  </si>
  <si>
    <t>Yoshi Latimer</t>
  </si>
  <si>
    <t>Elgin</t>
  </si>
  <si>
    <t>(503) 555-6874</t>
  </si>
  <si>
    <t>HUNGO</t>
  </si>
  <si>
    <t>Hungry Owl All-Night Grocers</t>
  </si>
  <si>
    <t>Patricia McKenna</t>
  </si>
  <si>
    <t>Cork</t>
  </si>
  <si>
    <t>Ireland</t>
  </si>
  <si>
    <t>2967 542</t>
  </si>
  <si>
    <t>ISLAT</t>
  </si>
  <si>
    <t>Island Trading</t>
  </si>
  <si>
    <t>Helen Bennett</t>
  </si>
  <si>
    <t>Cowes</t>
  </si>
  <si>
    <t>(198) 555-8888</t>
  </si>
  <si>
    <t>KOENE</t>
  </si>
  <si>
    <t>Königlich Essen</t>
  </si>
  <si>
    <t>Philip Cramer</t>
  </si>
  <si>
    <t>Brandenburg</t>
  </si>
  <si>
    <t>0555-09876</t>
  </si>
  <si>
    <t>LACOR</t>
  </si>
  <si>
    <t>La corne d'abondance</t>
  </si>
  <si>
    <t>Daniel Tonini</t>
  </si>
  <si>
    <t>Versailles</t>
  </si>
  <si>
    <t>30.59.84.10</t>
  </si>
  <si>
    <t>LAMAI</t>
  </si>
  <si>
    <t>La maison d'Asie</t>
  </si>
  <si>
    <t>Annette Roulet</t>
  </si>
  <si>
    <t>Toulouse</t>
  </si>
  <si>
    <t>61.77.61.10</t>
  </si>
  <si>
    <t>LAUGB</t>
  </si>
  <si>
    <t>Laughing Bacchus Wine Cellars</t>
  </si>
  <si>
    <t>Yoshi Tannamuri</t>
  </si>
  <si>
    <t>Vancouver</t>
  </si>
  <si>
    <t>(604) 555-3392</t>
  </si>
  <si>
    <t>LAZYK</t>
  </si>
  <si>
    <t>Lazy K Kountry Store</t>
  </si>
  <si>
    <t>John Steel</t>
  </si>
  <si>
    <t>Walla Walla</t>
  </si>
  <si>
    <t>(509) 555-7969</t>
  </si>
  <si>
    <t>Lehmanns Marktstand</t>
  </si>
  <si>
    <t>Renate Messner</t>
  </si>
  <si>
    <t>Frankfurt</t>
  </si>
  <si>
    <t>069-0245984</t>
  </si>
  <si>
    <t>LETSS</t>
  </si>
  <si>
    <t>Let's Stop N Shop</t>
  </si>
  <si>
    <t>Jaime Yorres</t>
  </si>
  <si>
    <t>San Francisco</t>
  </si>
  <si>
    <t>(415) 555-5938</t>
  </si>
  <si>
    <t>LILAS</t>
  </si>
  <si>
    <t>LILA-Supermercado</t>
  </si>
  <si>
    <t>Carlos González</t>
  </si>
  <si>
    <t>Barquisimeto</t>
  </si>
  <si>
    <t>(9) 331-6954</t>
  </si>
  <si>
    <t>LINOD</t>
  </si>
  <si>
    <t>LINO-Delicateses</t>
  </si>
  <si>
    <t>Felipe Izquierdo</t>
  </si>
  <si>
    <t>Porlamar</t>
  </si>
  <si>
    <t>(8) 34-56-12</t>
  </si>
  <si>
    <t>LONEP</t>
  </si>
  <si>
    <t>Lonesome Pine Restaurant</t>
  </si>
  <si>
    <t>Fran Wilson</t>
  </si>
  <si>
    <t>Portland</t>
  </si>
  <si>
    <t>(503) 555-9573</t>
  </si>
  <si>
    <t>MAGAA</t>
  </si>
  <si>
    <t>Magazzini Alimentari Riuniti</t>
  </si>
  <si>
    <t>Giovanni Rovelli</t>
  </si>
  <si>
    <t>Bergamo</t>
  </si>
  <si>
    <t>035-640230</t>
  </si>
  <si>
    <t>MAISD</t>
  </si>
  <si>
    <t>Maison Dewey</t>
  </si>
  <si>
    <t>Catherine Dewey</t>
  </si>
  <si>
    <t>Bruxelles</t>
  </si>
  <si>
    <t>Belgium</t>
  </si>
  <si>
    <t>(02) 201 24 67</t>
  </si>
  <si>
    <t>MEREP</t>
  </si>
  <si>
    <t>Mère Paillarde</t>
  </si>
  <si>
    <t>Jean Fresnière</t>
  </si>
  <si>
    <t>Montréal</t>
  </si>
  <si>
    <t>(514) 555-8054</t>
  </si>
  <si>
    <t>MORGK</t>
  </si>
  <si>
    <t>Morgenstern Gesundkost</t>
  </si>
  <si>
    <t>Alexander Feuer</t>
  </si>
  <si>
    <t>Leipzig</t>
  </si>
  <si>
    <t>0342-023176</t>
  </si>
  <si>
    <t>NORTS</t>
  </si>
  <si>
    <t>North/South</t>
  </si>
  <si>
    <t>Simon Crowther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</si>
  <si>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</si>
  <si>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</si>
  <si>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</si>
  <si>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</si>
  <si>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</si>
  <si>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</si>
  <si>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</si>
  <si>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</si>
  <si>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Anchorage</t>
  </si>
  <si>
    <t>(907) 555-7584</t>
  </si>
  <si>
    <t>OTTIK</t>
  </si>
  <si>
    <t>Ottilies Käseladen</t>
  </si>
  <si>
    <t>Henriette Pfalzheim</t>
  </si>
  <si>
    <t>Köln</t>
  </si>
  <si>
    <t>0221-0644327</t>
  </si>
  <si>
    <t>PARIS</t>
  </si>
  <si>
    <t>Paris spécialités</t>
  </si>
  <si>
    <t>Marie Bertrand</t>
  </si>
  <si>
    <t>Paris</t>
  </si>
  <si>
    <t>(1) 42.34.22.66</t>
  </si>
  <si>
    <t>PERIC</t>
  </si>
  <si>
    <t>Pericles Comidas clásicas</t>
  </si>
  <si>
    <t>Guillermo Fernández</t>
  </si>
  <si>
    <t>(5) 552-3745</t>
  </si>
  <si>
    <t>PICCO</t>
  </si>
  <si>
    <t>Piccolo und mehr</t>
  </si>
  <si>
    <t>Georg Pipps</t>
  </si>
  <si>
    <t>Salzburg</t>
  </si>
  <si>
    <t>6562-9722</t>
  </si>
  <si>
    <t>PRINI</t>
  </si>
  <si>
    <t>Princesa Isabel Vinhos</t>
  </si>
  <si>
    <t>Isabel de Castro</t>
  </si>
  <si>
    <t>(1) 356-5634</t>
  </si>
  <si>
    <t>QUEDE</t>
  </si>
  <si>
    <t>Que Delícia</t>
  </si>
  <si>
    <t>Bernardo Batista</t>
  </si>
  <si>
    <t>(21) 555-4252</t>
  </si>
  <si>
    <t>QUEEN</t>
  </si>
  <si>
    <t>Queen Cozinha</t>
  </si>
  <si>
    <t>Lúcia Carvalho</t>
  </si>
  <si>
    <t>(11) 555-1189</t>
  </si>
  <si>
    <t>QUICK</t>
  </si>
  <si>
    <t>QUICK-Stop</t>
  </si>
  <si>
    <t>Horst Kloss</t>
  </si>
  <si>
    <t>Cunewalde</t>
  </si>
  <si>
    <t>0372-035188</t>
  </si>
  <si>
    <t>RANCH</t>
  </si>
  <si>
    <t>Rancho grande</t>
  </si>
  <si>
    <t>Sergio Gutiérrez</t>
  </si>
  <si>
    <t>(1) 123-5555</t>
  </si>
  <si>
    <t>RATTC</t>
  </si>
  <si>
    <t>Rattlesnake Canyon Grocery</t>
  </si>
  <si>
    <t>Paula Wilson</t>
  </si>
  <si>
    <t>Assistant Sales Representative</t>
  </si>
  <si>
    <t>Albuquerque</t>
  </si>
  <si>
    <t>(505) 555-5939</t>
  </si>
  <si>
    <t>REGGC</t>
  </si>
  <si>
    <t>Reggiani Caseifici</t>
  </si>
  <si>
    <t>Maurizio Moroni</t>
  </si>
  <si>
    <t>Reggio Emilia</t>
  </si>
  <si>
    <t>0522-556721</t>
  </si>
  <si>
    <t>RICAR</t>
  </si>
  <si>
    <t>Ricardo Adocicados</t>
  </si>
  <si>
    <t>Janete Limeira</t>
  </si>
  <si>
    <t>(21) 555-3412</t>
  </si>
  <si>
    <t>Richter Supermarkt</t>
  </si>
  <si>
    <t>Michael Holz</t>
  </si>
  <si>
    <t>Genève</t>
  </si>
  <si>
    <t>0897-034214</t>
  </si>
  <si>
    <t>ROMEY</t>
  </si>
  <si>
    <t>Romero y tomillo</t>
  </si>
  <si>
    <t>Alejandra Camino</t>
  </si>
  <si>
    <t>(91) 745 6200</t>
  </si>
  <si>
    <t>SANTG</t>
  </si>
  <si>
    <t>Santé Gourmet</t>
  </si>
  <si>
    <t>Jonas Bergulfsen</t>
  </si>
  <si>
    <t>Stavern (Norway)</t>
  </si>
  <si>
    <t>Norway</t>
  </si>
  <si>
    <t>07-98 92 35</t>
  </si>
  <si>
    <t>SAVEA</t>
  </si>
  <si>
    <t>Save-a-lot Markets</t>
  </si>
  <si>
    <t>Jose Pavarotti</t>
  </si>
  <si>
    <t>Boise</t>
  </si>
  <si>
    <t>(208) 555-8097</t>
  </si>
  <si>
    <t>SEAFI</t>
  </si>
  <si>
    <t>Seafresh Industry (Thailand) PLC.</t>
  </si>
  <si>
    <t>Kobchai Darawan</t>
  </si>
  <si>
    <t>Chonburi</t>
  </si>
  <si>
    <t>(6638) 765-275</t>
  </si>
  <si>
    <t>SEVES</t>
  </si>
  <si>
    <t>Seven Seas Imports</t>
  </si>
  <si>
    <t>Hari Kumar</t>
  </si>
  <si>
    <t>(171) 555-1717</t>
  </si>
  <si>
    <t>SIMOB</t>
  </si>
  <si>
    <t>Simons bistro</t>
  </si>
  <si>
    <t>Jytte Petersen</t>
  </si>
  <si>
    <t>København</t>
  </si>
  <si>
    <t>Denmark</t>
  </si>
  <si>
    <t>31 12 34 56</t>
  </si>
  <si>
    <t>SPECD</t>
  </si>
  <si>
    <t>Spécialités du monde</t>
  </si>
  <si>
    <t>Dominique Perrier</t>
  </si>
  <si>
    <t>(1) 47.55.60.10</t>
  </si>
  <si>
    <t>SPLIR</t>
  </si>
  <si>
    <t>Split Rail Beer &amp; Ale</t>
  </si>
  <si>
    <t>Art Braunschweiger</t>
  </si>
  <si>
    <t>Lander</t>
  </si>
  <si>
    <t>(307) 555-4680</t>
  </si>
  <si>
    <t>Suprêmes délices</t>
  </si>
  <si>
    <t>Pascale Cartrain</t>
  </si>
  <si>
    <t>Charleroi</t>
  </si>
  <si>
    <t>(071) 23 67 22 20</t>
  </si>
  <si>
    <t>THAIP</t>
  </si>
  <si>
    <t>Thai President Foods PLC.</t>
  </si>
  <si>
    <t>Sombat Palathai</t>
  </si>
  <si>
    <t>(6638) 480-502</t>
  </si>
  <si>
    <t>THAIU</t>
  </si>
  <si>
    <t>Thai Union Group PLC.</t>
  </si>
  <si>
    <t>Pranee Panyawat</t>
  </si>
  <si>
    <t>Samutsakorn</t>
  </si>
  <si>
    <t>(6634) 816-500</t>
  </si>
  <si>
    <t>THEBI</t>
  </si>
  <si>
    <t>The Big Cheese</t>
  </si>
  <si>
    <t>Liz Nixon</t>
  </si>
  <si>
    <t>(503) 555-3612</t>
  </si>
  <si>
    <t>THECR</t>
  </si>
  <si>
    <t>The Cracker Box</t>
  </si>
  <si>
    <t>Liu Wong</t>
  </si>
  <si>
    <t>Butte</t>
  </si>
  <si>
    <t>(406) 555-5834</t>
  </si>
  <si>
    <t>Toms Spezialitäten</t>
  </si>
  <si>
    <t>Karin Josephs</t>
  </si>
  <si>
    <t>Münster</t>
  </si>
  <si>
    <t>0251-031259</t>
  </si>
  <si>
    <t>TORTU</t>
  </si>
  <si>
    <t>Tortuga Restaurante</t>
  </si>
  <si>
    <t>Miguel Angel Paolino</t>
  </si>
  <si>
    <t>(5) 555-2933</t>
  </si>
  <si>
    <t>TRADH</t>
  </si>
  <si>
    <t>Tradição Hipermercados</t>
  </si>
  <si>
    <t>Anabela Domingues</t>
  </si>
  <si>
    <t>(11) 555-2167</t>
  </si>
  <si>
    <t>TRAIH</t>
  </si>
  <si>
    <t>Trail's Head Gourmet Provisioners</t>
  </si>
  <si>
    <t>Helvetius Nagy</t>
  </si>
  <si>
    <t>Kirkland</t>
  </si>
  <si>
    <t>(206) 555-8257</t>
  </si>
  <si>
    <t>VAFFE</t>
  </si>
  <si>
    <t>Vaffeljernet</t>
  </si>
  <si>
    <t>Palle Ibsen</t>
  </si>
  <si>
    <t>Århus</t>
  </si>
  <si>
    <t>86 21 32 43</t>
  </si>
  <si>
    <t>Victuailles en stock</t>
  </si>
  <si>
    <t>Mary Saveley</t>
  </si>
  <si>
    <t>Lyon</t>
  </si>
  <si>
    <t>78.32.54.86</t>
  </si>
  <si>
    <t>VINET</t>
  </si>
  <si>
    <t>Vins et alcools Chevalier</t>
  </si>
  <si>
    <t>Paul Henriot</t>
  </si>
  <si>
    <t>Reims</t>
  </si>
  <si>
    <t>26.47.15.10</t>
  </si>
  <si>
    <t>WANDK</t>
  </si>
  <si>
    <t>Die Wandernde Kuh</t>
  </si>
  <si>
    <t>Rita Müller</t>
  </si>
  <si>
    <t>Stuttgart</t>
  </si>
  <si>
    <t>0711-020361</t>
  </si>
  <si>
    <t>WARTH</t>
  </si>
  <si>
    <t>Wartian Herkku</t>
  </si>
  <si>
    <t>Pirkko Koskitalo</t>
  </si>
  <si>
    <t>Oulu</t>
  </si>
  <si>
    <t>Finland</t>
  </si>
  <si>
    <t>981-443655</t>
  </si>
  <si>
    <t>WELLI</t>
  </si>
  <si>
    <t>Wellington Importadora</t>
  </si>
  <si>
    <t>Paula Parente</t>
  </si>
  <si>
    <t>Resende</t>
  </si>
  <si>
    <t>(14) 555-8122</t>
  </si>
  <si>
    <t>WHITC</t>
  </si>
  <si>
    <t>White Clover Markets</t>
  </si>
  <si>
    <t>Karl Jablonski</t>
  </si>
  <si>
    <t>Seattle</t>
  </si>
  <si>
    <t>(206) 555-4112</t>
  </si>
  <si>
    <t>WILMK</t>
  </si>
  <si>
    <t>Wilman Kala</t>
  </si>
  <si>
    <t>Matti Karttunen</t>
  </si>
  <si>
    <t>Owner/Marketing Assistant</t>
  </si>
  <si>
    <t>Helsinki</t>
  </si>
  <si>
    <t>90-224 8858</t>
  </si>
  <si>
    <t>WOLZA</t>
  </si>
  <si>
    <t>Wolski  Zajazd</t>
  </si>
  <si>
    <t>Zbyszek Piestrzeniewicz</t>
  </si>
  <si>
    <t>Warszawa</t>
  </si>
  <si>
    <t>Poland</t>
  </si>
  <si>
    <t>(26) 642-7012</t>
  </si>
  <si>
    <t>YANWA</t>
  </si>
  <si>
    <t>Yan Wal Yun</t>
  </si>
  <si>
    <t>Chaiyong Jitthai</t>
  </si>
  <si>
    <t>Rayong</t>
  </si>
  <si>
    <t>(6638) 650-229</t>
  </si>
  <si>
    <t>Fax</t>
  </si>
  <si>
    <t>Exotic Liquids</t>
  </si>
  <si>
    <t>Charlotte Cooper</t>
  </si>
  <si>
    <t>Purchasing Manager</t>
  </si>
  <si>
    <t>(171) 555-2222</t>
  </si>
  <si>
    <t>New Orleans Cajun Delights</t>
  </si>
  <si>
    <t>Shelley Burke</t>
  </si>
  <si>
    <t>New Orleans</t>
  </si>
  <si>
    <t>(100) 555-4822</t>
  </si>
  <si>
    <t>Grandma Kelly's Homestead</t>
  </si>
  <si>
    <t>Regina Murphy</t>
  </si>
  <si>
    <t>Ann Arbor</t>
  </si>
  <si>
    <t>(313) 555-5735</t>
  </si>
  <si>
    <t>(313) 555-3349</t>
  </si>
  <si>
    <t>Tokyo Traders</t>
  </si>
  <si>
    <t>Yoshi Nagase</t>
  </si>
  <si>
    <t>Tokyo</t>
  </si>
  <si>
    <t>Japan</t>
  </si>
  <si>
    <t>(03) 3555-5011</t>
  </si>
  <si>
    <t>Cooperativa de Quesos 'Las Cabras'</t>
  </si>
  <si>
    <t>Antonio del Valle Saavedra</t>
  </si>
  <si>
    <t>Export Administrator</t>
  </si>
  <si>
    <t>Oviedo</t>
  </si>
  <si>
    <t>(98) 598 76 54</t>
  </si>
  <si>
    <t>Mayumi's</t>
  </si>
  <si>
    <t>Mayumi Ohno</t>
  </si>
  <si>
    <t>Marketing Representative</t>
  </si>
  <si>
    <t>Osaka</t>
  </si>
  <si>
    <t>(06) 431-7877</t>
  </si>
  <si>
    <t>Pavlova, Ltd.</t>
  </si>
  <si>
    <t>Ian Devling</t>
  </si>
  <si>
    <t>Melbourne</t>
  </si>
  <si>
    <t>Australia</t>
  </si>
  <si>
    <t>(03) 444-2343</t>
  </si>
  <si>
    <t>(03) 444-6588</t>
  </si>
  <si>
    <t>Specialty Biscuits, Ltd.</t>
  </si>
  <si>
    <t>Peter Wilson</t>
  </si>
  <si>
    <t>Manchester</t>
  </si>
  <si>
    <t>(161) 555-4448</t>
  </si>
  <si>
    <t>PB Knäckebröd AB</t>
  </si>
  <si>
    <t>Lars Peterson</t>
  </si>
  <si>
    <t>Göteborg</t>
  </si>
  <si>
    <t>031-987 65 43</t>
  </si>
  <si>
    <t>031-987 65 91</t>
  </si>
  <si>
    <t>Refrescos Americanas LTDA</t>
  </si>
  <si>
    <t>Carlos Diaz</t>
  </si>
  <si>
    <t>(11) 555 4640</t>
  </si>
  <si>
    <t>Heli Süßwaren GmbH &amp; Co. KG</t>
  </si>
  <si>
    <t>Petra Winkler</t>
  </si>
  <si>
    <t>Berlin</t>
  </si>
  <si>
    <t>(010) 9984510</t>
  </si>
  <si>
    <t>Plutzer Lebensmittelgroßmärkte AG</t>
  </si>
  <si>
    <t>Martin Bein</t>
  </si>
  <si>
    <t>International Marketing Mgr.</t>
  </si>
  <si>
    <t>(069) 992755</t>
  </si>
  <si>
    <t>Nord-Ost-Fisch Handelsgesellschaft mbH</t>
  </si>
  <si>
    <t>Sven Petersen</t>
  </si>
  <si>
    <t>Coordinator Foreign Markets</t>
  </si>
  <si>
    <t>Cuxhaven</t>
  </si>
  <si>
    <t>(04721) 8713</t>
  </si>
  <si>
    <t>(04721) 8714</t>
  </si>
  <si>
    <t>Formaggi Fortini s.r.l.</t>
  </si>
  <si>
    <t>Elio Rossi</t>
  </si>
  <si>
    <t>Ravenna</t>
  </si>
  <si>
    <t>(0544) 60323</t>
  </si>
  <si>
    <t>(0544) 60603</t>
  </si>
  <si>
    <t>Norske Meierier</t>
  </si>
  <si>
    <t>Beate Vileid</t>
  </si>
  <si>
    <t>Sandvika</t>
  </si>
  <si>
    <t>(0)2-953010</t>
  </si>
  <si>
    <t>Bigfoot Breweries</t>
  </si>
  <si>
    <t>Cheryl Saylor</t>
  </si>
  <si>
    <t>Regional Account Rep.</t>
  </si>
  <si>
    <t>Bend</t>
  </si>
  <si>
    <t>(503) 555-9931</t>
  </si>
  <si>
    <t>Svensk Sjöföda AB</t>
  </si>
  <si>
    <t>Michael Björn</t>
  </si>
  <si>
    <t>Stockholm</t>
  </si>
  <si>
    <t>08-123 45 67</t>
  </si>
  <si>
    <t>Aux joyeux ecclésiastiques</t>
  </si>
  <si>
    <t>Guylène Nodier</t>
  </si>
  <si>
    <t>(1) 03.83.00.68</t>
  </si>
  <si>
    <t>(1) 03.83.00.62</t>
  </si>
  <si>
    <t>New England Seafood Cannery</t>
  </si>
  <si>
    <t>Robb Merchant</t>
  </si>
  <si>
    <t>Wholesale Account Agent</t>
  </si>
  <si>
    <t>Boston</t>
  </si>
  <si>
    <t>(617) 555-3267</t>
  </si>
  <si>
    <t>(617) 555-3389</t>
  </si>
  <si>
    <t>Leka Trading</t>
  </si>
  <si>
    <t>Chandra Leka</t>
  </si>
  <si>
    <t>Singapore</t>
  </si>
  <si>
    <t>555-8787</t>
  </si>
  <si>
    <t>Lyngbysild</t>
  </si>
  <si>
    <t>Niels Petersen</t>
  </si>
  <si>
    <t>Lyngby</t>
  </si>
  <si>
    <t>43844108</t>
  </si>
  <si>
    <t>43844115</t>
  </si>
  <si>
    <t>Zaanse Snoepfabriek</t>
  </si>
  <si>
    <t>Dirk Luchte</t>
  </si>
  <si>
    <t>Zaandam</t>
  </si>
  <si>
    <t>Netherlands</t>
  </si>
  <si>
    <t>(12345) 1212</t>
  </si>
  <si>
    <t>(12345) 1210</t>
  </si>
  <si>
    <t>Karkki Oy</t>
  </si>
  <si>
    <t>Anne Heikkonen</t>
  </si>
  <si>
    <t>Product Manager</t>
  </si>
  <si>
    <t>Lappeenranta</t>
  </si>
  <si>
    <t>(953) 10956</t>
  </si>
  <si>
    <t>G'day, Mate</t>
  </si>
  <si>
    <t>Wendy Mackenzie</t>
  </si>
  <si>
    <t>Sydney</t>
  </si>
  <si>
    <t>(02) 555-5914</t>
  </si>
  <si>
    <t>(02) 555-4873</t>
  </si>
  <si>
    <t>Ma Maison</t>
  </si>
  <si>
    <t>Jean-Guy Lauzon</t>
  </si>
  <si>
    <t>(514) 555-9022</t>
  </si>
  <si>
    <t>Pasta Buttini s.r.l.</t>
  </si>
  <si>
    <t>Giovanni Giudici</t>
  </si>
  <si>
    <t>Salerno</t>
  </si>
  <si>
    <t>(089) 6547665</t>
  </si>
  <si>
    <t>(089) 6547667</t>
  </si>
  <si>
    <t>Escargots Nouveaux</t>
  </si>
  <si>
    <t>Marie Delamare</t>
  </si>
  <si>
    <t>Montceau</t>
  </si>
  <si>
    <t>85.57.00.07</t>
  </si>
  <si>
    <t>Gai pâturage</t>
  </si>
  <si>
    <t>Eliane Noz</t>
  </si>
  <si>
    <t>Annecy</t>
  </si>
  <si>
    <t>38.76.98.06</t>
  </si>
  <si>
    <t>38.76.98.58</t>
  </si>
  <si>
    <t>Forêts d'érables</t>
  </si>
  <si>
    <t>Chantal Goulet</t>
  </si>
  <si>
    <t>Saint-Hyacinthe</t>
  </si>
  <si>
    <t>(514) 555-2955</t>
  </si>
  <si>
    <t>(514) 555-2921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</si>
</sst>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4" fillId="0" borderId="1" xfId="1" applyFont="1" applyBorder="1"/>
    <xf numFmtId="0" fontId="4" fillId="0" borderId="2" xfId="1" applyFont="1" applyBorder="1"/>
    <xf numFmtId="14" fontId="4" fillId="0" borderId="2" xfId="1" applyNumberFormat="1" applyFont="1" applyBorder="1"/>
    <xf numFmtId="9" fontId="4" fillId="0" borderId="1" xfId="1" applyNumberFormat="1" applyFont="1" applyBorder="1"/>
    <xf numFmtId="0" fontId="4" fillId="0" borderId="3" xfId="1" applyFont="1" applyBorder="1"/>
    <xf numFmtId="0" fontId="4" fillId="0" borderId="4" xfId="1" applyFont="1" applyBorder="1"/>
    <xf numFmtId="0" fontId="1" fillId="2" borderId="2" xfId="1" applyFont="1" applyFill="1" applyBorder="1"/>
    <xf numFmtId="0" fontId="1" fillId="2" borderId="1" xfId="1" applyFont="1" applyFill="1" applyBorder="1"/>
    <xf numFmtId="49" fontId="0" fillId="0" borderId="0" xfId="0" applyNumberFormat="1"/>
    <xf numFmtId="0" fontId="7" fillId="0" borderId="0" xfId="0" applyFont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5" fillId="3" borderId="1" xfId="1" applyFont="1" applyFill="1" applyBorder="1"/>
    <xf numFmtId="0" fontId="1" fillId="4" borderId="2" xfId="1" applyFont="1" applyFill="1" applyBorder="1"/>
  </cellXfs>
  <cellStyles count="2">
    <cellStyle name="Normal" xfId="0" builtinId="0"/>
    <cellStyle name="Normal 2" xfId="1" xr:uid="{7AB886A9-C70C-43AB-8F26-C5EFD14B4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D62E-CBAD-4F89-8AA9-4A50F451FAB9}">
  <sheetPr>
    <tabColor rgb="FF00B0F0"/>
  </sheetPr>
  <dimension ref="A1:L29"/>
  <sheetViews>
    <sheetView tabSelected="1" zoomScale="190" zoomScaleNormal="190" workbookViewId="0">
      <selection activeCell="H2" sqref="H2:H29"/>
    </sheetView>
  </sheetViews>
  <sheetFormatPr defaultRowHeight="14.4"/>
  <cols>
    <col min="2" max="2" width="10.44140625" style="3" bestFit="1" customWidth="1"/>
    <col min="3" max="3" width="10.88671875" bestFit="1" customWidth="1"/>
    <col min="4" max="4" width="19.5546875" bestFit="1" customWidth="1"/>
    <col min="5" max="5" width="15" bestFit="1" customWidth="1"/>
    <col min="7" max="7" width="28.5546875" bestFit="1" customWidth="1"/>
    <col min="8" max="8" width="12.88671875" customWidth="1"/>
  </cols>
  <sheetData>
    <row r="1" spans="1:12">
      <c r="A1" s="7" t="s">
        <v>0</v>
      </c>
      <c r="B1" s="7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>
      <c r="A2" s="1">
        <v>17001</v>
      </c>
      <c r="B2" s="3">
        <v>44927</v>
      </c>
      <c r="C2" s="1" t="s">
        <v>12</v>
      </c>
      <c r="D2" s="1" t="str">
        <f>_xlfn.XLOOKUP(C2,CUSTOMERS!A:A,CUSTOMERS!B:B)</f>
        <v>9Expert Co., Ltd.</v>
      </c>
      <c r="E2" s="1" t="str">
        <f>_xlfn.XLOOKUP(D2,CUSTOMERS!B:B,CUSTOMERS!G:G)</f>
        <v>022194304</v>
      </c>
      <c r="F2" s="1" t="s">
        <v>13</v>
      </c>
      <c r="G2" s="1" t="str">
        <f>_xlfn.XLOOKUP(F2,PRODUCTS!A:A,PRODUCTS!B:B)</f>
        <v>9EXPERT PRODUCT</v>
      </c>
      <c r="H2" s="1">
        <f>_xlfn.XLOOKUP(G2,PRODUCTS!B:B,PRODUCTS!F:F)</f>
        <v>22</v>
      </c>
      <c r="I2" s="1">
        <v>12</v>
      </c>
      <c r="J2" s="1">
        <v>10.25</v>
      </c>
      <c r="K2" s="1">
        <v>14</v>
      </c>
      <c r="L2" s="4">
        <v>0.1</v>
      </c>
    </row>
    <row r="3" spans="1:12">
      <c r="A3" s="1">
        <v>17001</v>
      </c>
      <c r="B3" s="3">
        <v>44927</v>
      </c>
      <c r="C3" s="1" t="s">
        <v>12</v>
      </c>
      <c r="D3" s="1" t="str">
        <f>_xlfn.XLOOKUP(C3,CUSTOMERS!A:A,CUSTOMERS!B:B)</f>
        <v>9Expert Co., Ltd.</v>
      </c>
      <c r="E3" s="1" t="str">
        <f>_xlfn.XLOOKUP(D3,CUSTOMERS!B:B,CUSTOMERS!G:G)</f>
        <v>022194304</v>
      </c>
      <c r="F3" s="1" t="s">
        <v>14</v>
      </c>
      <c r="G3" s="1" t="str">
        <f>_xlfn.XLOOKUP(F3,PRODUCTS!A:A,PRODUCTS!B:B)</f>
        <v>Mozzarella di Giovanni</v>
      </c>
      <c r="H3" s="1">
        <f>_xlfn.XLOOKUP(G3,PRODUCTS!B:B,PRODUCTS!F:F)</f>
        <v>14</v>
      </c>
      <c r="I3" s="1">
        <v>5</v>
      </c>
      <c r="J3" s="1">
        <v>17.54</v>
      </c>
      <c r="K3" s="1">
        <v>34.799999999999997</v>
      </c>
      <c r="L3" s="4">
        <v>0.1</v>
      </c>
    </row>
    <row r="4" spans="1:12">
      <c r="A4" s="1">
        <v>17001</v>
      </c>
      <c r="B4" s="3">
        <v>44927</v>
      </c>
      <c r="C4" s="1" t="s">
        <v>12</v>
      </c>
      <c r="D4" s="1" t="str">
        <f>_xlfn.XLOOKUP(C4,CUSTOMERS!A:A,CUSTOMERS!B:B)</f>
        <v>9Expert Co., Ltd.</v>
      </c>
      <c r="E4" s="1" t="str">
        <f>_xlfn.XLOOKUP(D4,CUSTOMERS!B:B,CUSTOMERS!G:G)</f>
        <v>022194304</v>
      </c>
      <c r="F4" s="1" t="s">
        <v>15</v>
      </c>
      <c r="G4" s="1" t="str">
        <f>_xlfn.XLOOKUP(F4,PRODUCTS!A:A,PRODUCTS!B:B)</f>
        <v>Singaporean Hokkien Fried</v>
      </c>
      <c r="H4" s="1">
        <f>_xlfn.XLOOKUP(G4,PRODUCTS!B:B,PRODUCTS!F:F)</f>
        <v>26</v>
      </c>
      <c r="I4" s="1">
        <v>10</v>
      </c>
      <c r="J4" s="1">
        <v>7.73</v>
      </c>
      <c r="K4" s="1">
        <v>9.8000000000000007</v>
      </c>
      <c r="L4" s="4">
        <v>0.1</v>
      </c>
    </row>
    <row r="5" spans="1:12">
      <c r="A5" s="1">
        <v>17002</v>
      </c>
      <c r="B5" s="3">
        <v>44928</v>
      </c>
      <c r="C5" s="1" t="s">
        <v>16</v>
      </c>
      <c r="D5" s="1" t="str">
        <f>_xlfn.XLOOKUP(C5,CUSTOMERS!A:A,CUSTOMERS!B:B)</f>
        <v>Toms Spezialitäten</v>
      </c>
      <c r="E5" s="1" t="str">
        <f>_xlfn.XLOOKUP(D5,CUSTOMERS!B:B,CUSTOMERS!G:G)</f>
        <v>0251-031259</v>
      </c>
      <c r="F5" s="1" t="s">
        <v>17</v>
      </c>
      <c r="G5" s="1" t="str">
        <f>_xlfn.XLOOKUP(F5,PRODUCTS!A:A,PRODUCTS!B:B)</f>
        <v>Côtes de Blaye</v>
      </c>
      <c r="H5" s="1">
        <f>_xlfn.XLOOKUP(G5,PRODUCTS!B:B,PRODUCTS!F:F)</f>
        <v>17</v>
      </c>
      <c r="I5" s="1">
        <v>35</v>
      </c>
      <c r="J5" s="1">
        <v>100.5</v>
      </c>
      <c r="K5" s="1">
        <v>175</v>
      </c>
      <c r="L5" s="4">
        <v>0.05</v>
      </c>
    </row>
    <row r="6" spans="1:12">
      <c r="A6" s="1">
        <v>17002</v>
      </c>
      <c r="B6" s="3">
        <v>44928</v>
      </c>
      <c r="C6" s="1" t="s">
        <v>16</v>
      </c>
      <c r="D6" s="1" t="str">
        <f>_xlfn.XLOOKUP(C6,CUSTOMERS!A:A,CUSTOMERS!B:B)</f>
        <v>Toms Spezialitäten</v>
      </c>
      <c r="E6" s="1" t="str">
        <f>_xlfn.XLOOKUP(D6,CUSTOMERS!B:B,CUSTOMERS!G:G)</f>
        <v>0251-031259</v>
      </c>
      <c r="F6" s="1" t="s">
        <v>18</v>
      </c>
      <c r="G6" s="1" t="str">
        <f>_xlfn.XLOOKUP(F6,PRODUCTS!A:A,PRODUCTS!B:B)</f>
        <v>Tofu</v>
      </c>
      <c r="H6" s="1">
        <f>_xlfn.XLOOKUP(G6,PRODUCTS!B:B,PRODUCTS!F:F)</f>
        <v>35</v>
      </c>
      <c r="I6" s="1">
        <v>9</v>
      </c>
      <c r="J6" s="1">
        <v>14.65</v>
      </c>
      <c r="K6" s="1">
        <v>18.600000000000001</v>
      </c>
      <c r="L6" s="4">
        <v>0</v>
      </c>
    </row>
    <row r="7" spans="1:12">
      <c r="A7" s="1">
        <v>17002</v>
      </c>
      <c r="B7" s="3">
        <v>44928</v>
      </c>
      <c r="C7" s="1" t="s">
        <v>16</v>
      </c>
      <c r="D7" s="1" t="str">
        <f>_xlfn.XLOOKUP(C7,CUSTOMERS!A:A,CUSTOMERS!B:B)</f>
        <v>Toms Spezialitäten</v>
      </c>
      <c r="E7" s="1" t="str">
        <f>_xlfn.XLOOKUP(D7,CUSTOMERS!B:B,CUSTOMERS!G:G)</f>
        <v>0251-031259</v>
      </c>
      <c r="F7" s="1" t="s">
        <v>19</v>
      </c>
      <c r="G7" s="1" t="str">
        <f>_xlfn.XLOOKUP(F7,PRODUCTS!A:A,PRODUCTS!B:B)</f>
        <v>Manjimup Dried Apples</v>
      </c>
      <c r="H7" s="1">
        <f>_xlfn.XLOOKUP(G7,PRODUCTS!B:B,PRODUCTS!F:F)</f>
        <v>20</v>
      </c>
      <c r="I7" s="1">
        <v>25</v>
      </c>
      <c r="J7" s="1">
        <v>28.83</v>
      </c>
      <c r="K7" s="1">
        <v>42.4</v>
      </c>
      <c r="L7" s="4">
        <v>0</v>
      </c>
    </row>
    <row r="8" spans="1:12">
      <c r="A8" s="1">
        <v>17003</v>
      </c>
      <c r="B8" s="3">
        <v>44931</v>
      </c>
      <c r="C8" s="1" t="s">
        <v>20</v>
      </c>
      <c r="D8" s="1" t="str">
        <f>_xlfn.XLOOKUP(C8,CUSTOMERS!A:A,CUSTOMERS!B:B)</f>
        <v>Hanari Carnes</v>
      </c>
      <c r="E8" s="1" t="str">
        <f>_xlfn.XLOOKUP(D8,CUSTOMERS!B:B,CUSTOMERS!G:G)</f>
        <v>(21) 555-0091</v>
      </c>
      <c r="F8" s="1" t="s">
        <v>21</v>
      </c>
      <c r="G8" s="1" t="str">
        <f>_xlfn.XLOOKUP(F8,PRODUCTS!A:A,PRODUCTS!B:B)</f>
        <v>Louisiana Fiery Hot Pepper Sauce</v>
      </c>
      <c r="H8" s="1">
        <f>_xlfn.XLOOKUP(G8,PRODUCTS!B:B,PRODUCTS!F:F)</f>
        <v>76</v>
      </c>
      <c r="I8" s="1">
        <v>15</v>
      </c>
      <c r="J8" s="1">
        <v>12.8</v>
      </c>
      <c r="K8" s="1">
        <v>16.8</v>
      </c>
      <c r="L8" s="4">
        <v>0.15</v>
      </c>
    </row>
    <row r="9" spans="1:12">
      <c r="A9" s="1">
        <v>17003</v>
      </c>
      <c r="B9" s="3">
        <v>44931</v>
      </c>
      <c r="C9" s="1" t="s">
        <v>20</v>
      </c>
      <c r="D9" s="1" t="str">
        <f>_xlfn.XLOOKUP(C9,CUSTOMERS!A:A,CUSTOMERS!B:B)</f>
        <v>Hanari Carnes</v>
      </c>
      <c r="E9" s="1" t="str">
        <f>_xlfn.XLOOKUP(D9,CUSTOMERS!B:B,CUSTOMERS!G:G)</f>
        <v>(21) 555-0091</v>
      </c>
      <c r="F9" s="1" t="s">
        <v>19</v>
      </c>
      <c r="G9" s="1" t="str">
        <f>_xlfn.XLOOKUP(F9,PRODUCTS!A:A,PRODUCTS!B:B)</f>
        <v>Manjimup Dried Apples</v>
      </c>
      <c r="H9" s="1">
        <f>_xlfn.XLOOKUP(G9,PRODUCTS!B:B,PRODUCTS!F:F)</f>
        <v>20</v>
      </c>
      <c r="I9" s="1">
        <v>35</v>
      </c>
      <c r="J9" s="1">
        <v>32.65</v>
      </c>
      <c r="K9" s="1">
        <v>42.4</v>
      </c>
      <c r="L9" s="4">
        <v>0.15</v>
      </c>
    </row>
    <row r="10" spans="1:12">
      <c r="A10" s="1">
        <v>17003</v>
      </c>
      <c r="B10" s="3">
        <v>44931</v>
      </c>
      <c r="C10" s="1" t="s">
        <v>20</v>
      </c>
      <c r="D10" s="1" t="str">
        <f>_xlfn.XLOOKUP(C10,CUSTOMERS!A:A,CUSTOMERS!B:B)</f>
        <v>Hanari Carnes</v>
      </c>
      <c r="E10" s="1" t="str">
        <f>_xlfn.XLOOKUP(D10,CUSTOMERS!B:B,CUSTOMERS!G:G)</f>
        <v>(21) 555-0091</v>
      </c>
      <c r="F10" s="1" t="s">
        <v>22</v>
      </c>
      <c r="G10" s="1" t="str">
        <f>_xlfn.XLOOKUP(F10,PRODUCTS!A:A,PRODUCTS!B:B)</f>
        <v xml:space="preserve">Jack's New England Clam </v>
      </c>
      <c r="H10" s="1">
        <f>_xlfn.XLOOKUP(G10,PRODUCTS!B:B,PRODUCTS!F:F)</f>
        <v>85</v>
      </c>
      <c r="I10" s="1">
        <v>10</v>
      </c>
      <c r="J10" s="1">
        <v>6.43</v>
      </c>
      <c r="K10" s="1">
        <v>7.7</v>
      </c>
      <c r="L10" s="4">
        <v>0</v>
      </c>
    </row>
    <row r="11" spans="1:12">
      <c r="A11" s="1">
        <v>17004</v>
      </c>
      <c r="B11" s="3">
        <v>44931</v>
      </c>
      <c r="C11" s="1" t="s">
        <v>23</v>
      </c>
      <c r="D11" s="1" t="str">
        <f>_xlfn.XLOOKUP(C11,CUSTOMERS!A:A,CUSTOMERS!B:B)</f>
        <v>Lehmanns Marktstand</v>
      </c>
      <c r="E11" s="1" t="str">
        <f>_xlfn.XLOOKUP(D11,CUSTOMERS!B:B,CUSTOMERS!G:G)</f>
        <v>069-0245984</v>
      </c>
      <c r="F11" s="1" t="s">
        <v>24</v>
      </c>
      <c r="G11" s="1" t="str">
        <f>_xlfn.XLOOKUP(F11,PRODUCTS!A:A,PRODUCTS!B:B)</f>
        <v>Filo Mix</v>
      </c>
      <c r="H11" s="1">
        <f>_xlfn.XLOOKUP(G11,PRODUCTS!B:B,PRODUCTS!F:F)</f>
        <v>38</v>
      </c>
      <c r="I11" s="1">
        <v>146</v>
      </c>
      <c r="J11" s="1">
        <v>4.26</v>
      </c>
      <c r="K11" s="1">
        <v>7</v>
      </c>
      <c r="L11" s="4">
        <v>0.1</v>
      </c>
    </row>
    <row r="12" spans="1:12">
      <c r="A12" s="1">
        <v>17005</v>
      </c>
      <c r="B12" s="3">
        <v>44931</v>
      </c>
      <c r="C12" s="1" t="s">
        <v>25</v>
      </c>
      <c r="D12" s="1" t="str">
        <f>_xlfn.XLOOKUP(C12,CUSTOMERS!A:A,CUSTOMERS!B:B)</f>
        <v>Victuailles en stock</v>
      </c>
      <c r="E12" s="1" t="str">
        <f>_xlfn.XLOOKUP(D12,CUSTOMERS!B:B,CUSTOMERS!G:G)</f>
        <v>78.32.54.86</v>
      </c>
      <c r="F12" s="1" t="s">
        <v>21</v>
      </c>
      <c r="G12" s="1" t="str">
        <f>_xlfn.XLOOKUP(F12,PRODUCTS!A:A,PRODUCTS!B:B)</f>
        <v>Louisiana Fiery Hot Pepper Sauce</v>
      </c>
      <c r="H12" s="1">
        <f>_xlfn.XLOOKUP(G12,PRODUCTS!B:B,PRODUCTS!F:F)</f>
        <v>76</v>
      </c>
      <c r="I12" s="1">
        <v>20</v>
      </c>
      <c r="J12" s="1">
        <v>10.44</v>
      </c>
      <c r="K12" s="1">
        <v>16.8</v>
      </c>
      <c r="L12" s="4">
        <v>0</v>
      </c>
    </row>
    <row r="13" spans="1:12">
      <c r="A13" s="1">
        <v>17005</v>
      </c>
      <c r="B13" s="3">
        <v>44931</v>
      </c>
      <c r="C13" s="1" t="s">
        <v>25</v>
      </c>
      <c r="D13" s="1" t="str">
        <f>_xlfn.XLOOKUP(C13,CUSTOMERS!A:A,CUSTOMERS!B:B)</f>
        <v>Victuailles en stock</v>
      </c>
      <c r="E13" s="1" t="str">
        <f>_xlfn.XLOOKUP(D13,CUSTOMERS!B:B,CUSTOMERS!G:G)</f>
        <v>78.32.54.86</v>
      </c>
      <c r="F13" s="1" t="s">
        <v>26</v>
      </c>
      <c r="G13" s="1" t="str">
        <f>_xlfn.XLOOKUP(F13,PRODUCTS!A:A,PRODUCTS!B:B)</f>
        <v>Ravioli Angelo</v>
      </c>
      <c r="H13" s="1">
        <f>_xlfn.XLOOKUP(G13,PRODUCTS!B:B,PRODUCTS!F:F)</f>
        <v>36</v>
      </c>
      <c r="I13" s="1">
        <v>15</v>
      </c>
      <c r="J13" s="1">
        <v>10.88</v>
      </c>
      <c r="K13" s="1">
        <v>15.6</v>
      </c>
      <c r="L13" s="4">
        <v>0.05</v>
      </c>
    </row>
    <row r="14" spans="1:12">
      <c r="A14" s="1">
        <v>17005</v>
      </c>
      <c r="B14" s="3">
        <v>44931</v>
      </c>
      <c r="C14" s="1" t="s">
        <v>25</v>
      </c>
      <c r="D14" s="1" t="str">
        <f>_xlfn.XLOOKUP(C14,CUSTOMERS!A:A,CUSTOMERS!B:B)</f>
        <v>Victuailles en stock</v>
      </c>
      <c r="E14" s="1" t="str">
        <f>_xlfn.XLOOKUP(D14,CUSTOMERS!B:B,CUSTOMERS!G:G)</f>
        <v>78.32.54.86</v>
      </c>
      <c r="F14" s="1" t="s">
        <v>27</v>
      </c>
      <c r="G14" s="1" t="str">
        <f>_xlfn.XLOOKUP(F14,PRODUCTS!A:A,PRODUCTS!B:B)</f>
        <v>Gustaf's Knckebrd</v>
      </c>
      <c r="H14" s="1">
        <f>_xlfn.XLOOKUP(G14,PRODUCTS!B:B,PRODUCTS!F:F)</f>
        <v>104</v>
      </c>
      <c r="I14" s="1">
        <v>6</v>
      </c>
      <c r="J14" s="1">
        <v>11.09</v>
      </c>
      <c r="K14" s="1">
        <v>16.8</v>
      </c>
      <c r="L14" s="4">
        <v>0.05</v>
      </c>
    </row>
    <row r="15" spans="1:12">
      <c r="A15" s="1">
        <v>17006</v>
      </c>
      <c r="B15" s="3">
        <v>44932</v>
      </c>
      <c r="C15" s="1" t="s">
        <v>28</v>
      </c>
      <c r="D15" s="1" t="str">
        <f>_xlfn.XLOOKUP(C15,CUSTOMERS!A:A,CUSTOMERS!B:B)</f>
        <v>Suprêmes délices</v>
      </c>
      <c r="E15" s="1" t="str">
        <f>_xlfn.XLOOKUP(D15,CUSTOMERS!B:B,CUSTOMERS!G:G)</f>
        <v>(071) 23 67 22 20</v>
      </c>
      <c r="F15" s="1" t="s">
        <v>29</v>
      </c>
      <c r="G15" s="1" t="str">
        <f>_xlfn.XLOOKUP(F15,PRODUCTS!A:A,PRODUCTS!B:B)</f>
        <v>Sir Rodney's Marmalade</v>
      </c>
      <c r="H15" s="1">
        <f>_xlfn.XLOOKUP(G15,PRODUCTS!B:B,PRODUCTS!F:F)</f>
        <v>40</v>
      </c>
      <c r="I15" s="1">
        <v>15</v>
      </c>
      <c r="J15" s="1">
        <v>49.57</v>
      </c>
      <c r="K15" s="1">
        <v>64.8</v>
      </c>
      <c r="L15" s="4">
        <v>0.05</v>
      </c>
    </row>
    <row r="16" spans="1:12">
      <c r="A16" s="1">
        <v>17006</v>
      </c>
      <c r="B16" s="3">
        <v>44932</v>
      </c>
      <c r="C16" s="1" t="s">
        <v>28</v>
      </c>
      <c r="D16" s="1" t="str">
        <f>_xlfn.XLOOKUP(C16,CUSTOMERS!A:A,CUSTOMERS!B:B)</f>
        <v>Suprêmes délices</v>
      </c>
      <c r="E16" s="1" t="str">
        <f>_xlfn.XLOOKUP(D16,CUSTOMERS!B:B,CUSTOMERS!G:G)</f>
        <v>(071) 23 67 22 20</v>
      </c>
      <c r="F16" s="1" t="s">
        <v>30</v>
      </c>
      <c r="G16" s="1" t="str">
        <f>_xlfn.XLOOKUP(F16,PRODUCTS!A:A,PRODUCTS!B:B)</f>
        <v>Camembert Pierrot</v>
      </c>
      <c r="H16" s="1">
        <f>_xlfn.XLOOKUP(G16,PRODUCTS!B:B,PRODUCTS!F:F)</f>
        <v>19</v>
      </c>
      <c r="I16" s="1">
        <v>16</v>
      </c>
      <c r="J16" s="1">
        <v>22.95</v>
      </c>
      <c r="K16" s="1">
        <v>27.2</v>
      </c>
      <c r="L16" s="4">
        <v>0</v>
      </c>
    </row>
    <row r="17" spans="1:12">
      <c r="A17" s="1">
        <v>17006</v>
      </c>
      <c r="B17" s="3">
        <v>44932</v>
      </c>
      <c r="C17" s="1" t="s">
        <v>28</v>
      </c>
      <c r="D17" s="1" t="str">
        <f>_xlfn.XLOOKUP(C17,CUSTOMERS!A:A,CUSTOMERS!B:B)</f>
        <v>Suprêmes délices</v>
      </c>
      <c r="E17" s="1" t="str">
        <f>_xlfn.XLOOKUP(D17,CUSTOMERS!B:B,CUSTOMERS!G:G)</f>
        <v>(071) 23 67 22 20</v>
      </c>
      <c r="F17" s="1" t="s">
        <v>31</v>
      </c>
      <c r="G17" s="1" t="str">
        <f>_xlfn.XLOOKUP(F17,PRODUCTS!A:A,PRODUCTS!B:B)</f>
        <v>Geitost</v>
      </c>
      <c r="H17" s="1">
        <f>_xlfn.XLOOKUP(G17,PRODUCTS!B:B,PRODUCTS!F:F)</f>
        <v>112</v>
      </c>
      <c r="I17" s="1">
        <v>25</v>
      </c>
      <c r="J17" s="1">
        <v>1.76</v>
      </c>
      <c r="K17" s="1">
        <v>2</v>
      </c>
      <c r="L17" s="4">
        <v>0.05</v>
      </c>
    </row>
    <row r="18" spans="1:12">
      <c r="A18" s="1">
        <v>17007</v>
      </c>
      <c r="B18" s="3">
        <v>44933</v>
      </c>
      <c r="C18" s="1" t="s">
        <v>20</v>
      </c>
      <c r="D18" s="1" t="str">
        <f>_xlfn.XLOOKUP(C18,CUSTOMERS!A:A,CUSTOMERS!B:B)</f>
        <v>Hanari Carnes</v>
      </c>
      <c r="E18" s="1" t="str">
        <f>_xlfn.XLOOKUP(D18,CUSTOMERS!B:B,CUSTOMERS!G:G)</f>
        <v>(21) 555-0091</v>
      </c>
      <c r="F18" s="1" t="s">
        <v>17</v>
      </c>
      <c r="G18" s="1" t="str">
        <f>_xlfn.XLOOKUP(F18,PRODUCTS!A:A,PRODUCTS!B:B)</f>
        <v>Côtes de Blaye</v>
      </c>
      <c r="H18" s="1">
        <f>_xlfn.XLOOKUP(G18,PRODUCTS!B:B,PRODUCTS!F:F)</f>
        <v>17</v>
      </c>
      <c r="I18" s="1">
        <v>27</v>
      </c>
      <c r="J18" s="1">
        <v>100.5</v>
      </c>
      <c r="K18" s="1">
        <v>175</v>
      </c>
      <c r="L18" s="4">
        <v>0.05</v>
      </c>
    </row>
    <row r="19" spans="1:12">
      <c r="A19" s="5">
        <v>17007</v>
      </c>
      <c r="B19" s="3">
        <v>44933</v>
      </c>
      <c r="C19" s="5" t="s">
        <v>20</v>
      </c>
      <c r="D19" s="1" t="str">
        <f>_xlfn.XLOOKUP(C19,CUSTOMERS!A:A,CUSTOMERS!B:B)</f>
        <v>Hanari Carnes</v>
      </c>
      <c r="E19" s="1" t="str">
        <f>_xlfn.XLOOKUP(D19,CUSTOMERS!B:B,CUSTOMERS!G:G)</f>
        <v>(21) 555-0091</v>
      </c>
      <c r="F19" s="1" t="s">
        <v>32</v>
      </c>
      <c r="G19" s="1" t="str">
        <f>_xlfn.XLOOKUP(F19,PRODUCTS!A:A,PRODUCTS!B:B)</f>
        <v>Chartreuse verte</v>
      </c>
      <c r="H19" s="1">
        <f>_xlfn.XLOOKUP(G19,PRODUCTS!B:B,PRODUCTS!F:F)</f>
        <v>69</v>
      </c>
      <c r="I19" s="1">
        <v>42</v>
      </c>
      <c r="J19" s="1">
        <v>10.51</v>
      </c>
      <c r="K19" s="1">
        <v>14.4</v>
      </c>
      <c r="L19" s="4">
        <v>0</v>
      </c>
    </row>
    <row r="20" spans="1:12">
      <c r="A20" s="5">
        <v>17007</v>
      </c>
      <c r="B20" s="3">
        <v>44933</v>
      </c>
      <c r="C20" s="5" t="s">
        <v>20</v>
      </c>
      <c r="D20" s="1" t="str">
        <f>_xlfn.XLOOKUP(C20,CUSTOMERS!A:A,CUSTOMERS!B:B)</f>
        <v>Hanari Carnes</v>
      </c>
      <c r="E20" s="1" t="str">
        <f>_xlfn.XLOOKUP(D20,CUSTOMERS!B:B,CUSTOMERS!G:G)</f>
        <v>(21) 555-0091</v>
      </c>
      <c r="F20" s="1" t="s">
        <v>33</v>
      </c>
      <c r="G20" s="1" t="str">
        <f>_xlfn.XLOOKUP(F20,PRODUCTS!A:A,PRODUCTS!B:B)</f>
        <v>Maxilaku</v>
      </c>
      <c r="H20" s="1">
        <f>_xlfn.XLOOKUP(G20,PRODUCTS!B:B,PRODUCTS!F:F)</f>
        <v>10</v>
      </c>
      <c r="I20" s="1">
        <v>40</v>
      </c>
      <c r="J20" s="1">
        <v>12.96</v>
      </c>
      <c r="K20" s="1">
        <v>16</v>
      </c>
      <c r="L20" s="4">
        <v>0</v>
      </c>
    </row>
    <row r="21" spans="1:12">
      <c r="A21" s="6">
        <v>17007</v>
      </c>
      <c r="B21" s="3">
        <v>44933</v>
      </c>
      <c r="C21" s="6" t="s">
        <v>20</v>
      </c>
      <c r="D21" s="1" t="str">
        <f>_xlfn.XLOOKUP(C21,CUSTOMERS!A:A,CUSTOMERS!B:B)</f>
        <v>Hanari Carnes</v>
      </c>
      <c r="E21" s="1" t="str">
        <f>_xlfn.XLOOKUP(D21,CUSTOMERS!B:B,CUSTOMERS!G:G)</f>
        <v>(21) 555-0091</v>
      </c>
      <c r="F21" s="1" t="s">
        <v>34</v>
      </c>
      <c r="G21" s="1" t="str">
        <f>_xlfn.XLOOKUP(F21,PRODUCTS!A:A,PRODUCTS!B:B)</f>
        <v>Gorgonzola Telino</v>
      </c>
      <c r="H21" s="1">
        <f>_xlfn.XLOOKUP(G21,PRODUCTS!B:B,PRODUCTS!F:F)</f>
        <v>0</v>
      </c>
      <c r="I21" s="1">
        <v>20</v>
      </c>
      <c r="J21" s="1">
        <v>7.8</v>
      </c>
      <c r="K21" s="1">
        <v>10</v>
      </c>
      <c r="L21" s="4">
        <v>0</v>
      </c>
    </row>
    <row r="22" spans="1:12">
      <c r="A22" s="1">
        <v>17008</v>
      </c>
      <c r="B22" s="3">
        <v>44933</v>
      </c>
      <c r="C22" s="1" t="s">
        <v>16</v>
      </c>
      <c r="D22" s="1" t="str">
        <f>_xlfn.XLOOKUP(C22,CUSTOMERS!A:A,CUSTOMERS!B:B)</f>
        <v>Toms Spezialitäten</v>
      </c>
      <c r="E22" s="1" t="str">
        <f>_xlfn.XLOOKUP(D22,CUSTOMERS!B:B,CUSTOMERS!G:G)</f>
        <v>0251-031259</v>
      </c>
      <c r="F22" s="1" t="s">
        <v>35</v>
      </c>
      <c r="G22" s="1" t="str">
        <f>_xlfn.XLOOKUP(F22,PRODUCTS!A:A,PRODUCTS!B:B)</f>
        <v>Tunnbrd</v>
      </c>
      <c r="H22" s="1">
        <f>_xlfn.XLOOKUP(G22,PRODUCTS!B:B,PRODUCTS!F:F)</f>
        <v>61</v>
      </c>
      <c r="I22" s="1">
        <v>157</v>
      </c>
      <c r="J22" s="1">
        <v>5.76</v>
      </c>
      <c r="K22" s="1">
        <v>9</v>
      </c>
      <c r="L22" s="4">
        <v>0.1</v>
      </c>
    </row>
    <row r="23" spans="1:12">
      <c r="A23" s="2">
        <v>17009</v>
      </c>
      <c r="B23" s="3">
        <v>44934</v>
      </c>
      <c r="C23" s="2" t="s">
        <v>36</v>
      </c>
      <c r="D23" s="1" t="str">
        <f>_xlfn.XLOOKUP(C23,CUSTOMERS!A:A,CUSTOMERS!B:B)</f>
        <v>Chop-suey Chinese</v>
      </c>
      <c r="E23" s="1" t="str">
        <f>_xlfn.XLOOKUP(D23,CUSTOMERS!B:B,CUSTOMERS!G:G)</f>
        <v>0452-076545</v>
      </c>
      <c r="F23" s="1" t="s">
        <v>37</v>
      </c>
      <c r="G23" s="1" t="str">
        <f>_xlfn.XLOOKUP(F23,PRODUCTS!A:A,PRODUCTS!B:B)</f>
        <v>Chai</v>
      </c>
      <c r="H23" s="1">
        <f>_xlfn.XLOOKUP(G23,PRODUCTS!B:B,PRODUCTS!F:F)</f>
        <v>39</v>
      </c>
      <c r="I23" s="1">
        <v>15</v>
      </c>
      <c r="J23" s="1">
        <v>8.64</v>
      </c>
      <c r="K23" s="1">
        <v>3.6</v>
      </c>
      <c r="L23" s="4">
        <v>0.15</v>
      </c>
    </row>
    <row r="24" spans="1:12">
      <c r="A24" s="5">
        <v>17009</v>
      </c>
      <c r="B24" s="3">
        <v>44934</v>
      </c>
      <c r="C24" s="5" t="s">
        <v>36</v>
      </c>
      <c r="D24" s="1" t="str">
        <f>_xlfn.XLOOKUP(C24,CUSTOMERS!A:A,CUSTOMERS!B:B)</f>
        <v>Chop-suey Chinese</v>
      </c>
      <c r="E24" s="1" t="str">
        <f>_xlfn.XLOOKUP(D24,CUSTOMERS!B:B,CUSTOMERS!G:G)</f>
        <v>0452-076545</v>
      </c>
      <c r="F24" s="1" t="s">
        <v>38</v>
      </c>
      <c r="G24" s="1" t="str">
        <f>_xlfn.XLOOKUP(F24,PRODUCTS!A:A,PRODUCTS!B:B)</f>
        <v>Pt chinois</v>
      </c>
      <c r="H24" s="1">
        <f>_xlfn.XLOOKUP(G24,PRODUCTS!B:B,PRODUCTS!F:F)</f>
        <v>115</v>
      </c>
      <c r="I24" s="1">
        <v>21</v>
      </c>
      <c r="J24" s="1">
        <v>15.98</v>
      </c>
      <c r="K24" s="1">
        <v>19.2</v>
      </c>
      <c r="L24" s="4">
        <v>0.15</v>
      </c>
    </row>
    <row r="25" spans="1:12">
      <c r="A25" s="6">
        <v>17009</v>
      </c>
      <c r="B25" s="3">
        <v>44934</v>
      </c>
      <c r="C25" s="6" t="s">
        <v>36</v>
      </c>
      <c r="D25" s="1" t="str">
        <f>_xlfn.XLOOKUP(C25,CUSTOMERS!A:A,CUSTOMERS!B:B)</f>
        <v>Chop-suey Chinese</v>
      </c>
      <c r="E25" s="1" t="str">
        <f>_xlfn.XLOOKUP(D25,CUSTOMERS!B:B,CUSTOMERS!G:G)</f>
        <v>0452-076545</v>
      </c>
      <c r="F25" s="1" t="s">
        <v>39</v>
      </c>
      <c r="G25" s="1" t="str">
        <f>_xlfn.XLOOKUP(F25,PRODUCTS!A:A,PRODUCTS!B:B)</f>
        <v>Longlife Tofu</v>
      </c>
      <c r="H25" s="1">
        <f>_xlfn.XLOOKUP(G25,PRODUCTS!B:B,PRODUCTS!F:F)</f>
        <v>4</v>
      </c>
      <c r="I25" s="1">
        <v>21</v>
      </c>
      <c r="J25" s="1">
        <v>6.12</v>
      </c>
      <c r="K25" s="1">
        <v>8</v>
      </c>
      <c r="L25" s="4">
        <v>0</v>
      </c>
    </row>
    <row r="26" spans="1:12">
      <c r="A26" s="2">
        <v>17010</v>
      </c>
      <c r="B26" s="3">
        <v>44935</v>
      </c>
      <c r="C26" s="2" t="s">
        <v>40</v>
      </c>
      <c r="D26" s="1" t="str">
        <f>_xlfn.XLOOKUP(C26,CUSTOMERS!A:A,CUSTOMERS!B:B)</f>
        <v>Richter Supermarkt</v>
      </c>
      <c r="E26" s="1" t="str">
        <f>_xlfn.XLOOKUP(D26,CUSTOMERS!B:B,CUSTOMERS!G:G)</f>
        <v>0897-034214</v>
      </c>
      <c r="F26" s="1" t="s">
        <v>41</v>
      </c>
      <c r="G26" s="1" t="str">
        <f>_xlfn.XLOOKUP(F26,PRODUCTS!A:A,PRODUCTS!B:B)</f>
        <v>Chang</v>
      </c>
      <c r="H26" s="1">
        <f>_xlfn.XLOOKUP(G26,PRODUCTS!B:B,PRODUCTS!F:F)</f>
        <v>17</v>
      </c>
      <c r="I26" s="1">
        <v>20</v>
      </c>
      <c r="J26" s="1">
        <v>9.42</v>
      </c>
      <c r="K26" s="1">
        <v>15.2</v>
      </c>
      <c r="L26" s="4">
        <v>0</v>
      </c>
    </row>
    <row r="27" spans="1:12">
      <c r="A27" s="5">
        <v>17010</v>
      </c>
      <c r="B27" s="3">
        <v>44935</v>
      </c>
      <c r="C27" s="5" t="s">
        <v>40</v>
      </c>
      <c r="D27" s="1" t="str">
        <f>_xlfn.XLOOKUP(C27,CUSTOMERS!A:A,CUSTOMERS!B:B)</f>
        <v>Richter Supermarkt</v>
      </c>
      <c r="E27" s="1" t="str">
        <f>_xlfn.XLOOKUP(D27,CUSTOMERS!B:B,CUSTOMERS!G:G)</f>
        <v>0897-034214</v>
      </c>
      <c r="F27" s="1" t="s">
        <v>42</v>
      </c>
      <c r="G27" s="1" t="str">
        <f>_xlfn.XLOOKUP(F27,PRODUCTS!A:A,PRODUCTS!B:B)</f>
        <v>Pavlova</v>
      </c>
      <c r="H27" s="1">
        <f>_xlfn.XLOOKUP(G27,PRODUCTS!B:B,PRODUCTS!F:F)</f>
        <v>29</v>
      </c>
      <c r="I27" s="1">
        <v>35</v>
      </c>
      <c r="J27" s="1">
        <v>10.050000000000001</v>
      </c>
      <c r="K27" s="1">
        <v>13.9</v>
      </c>
      <c r="L27" s="4">
        <v>0</v>
      </c>
    </row>
    <row r="28" spans="1:12">
      <c r="A28" s="5">
        <v>17010</v>
      </c>
      <c r="B28" s="3">
        <v>44935</v>
      </c>
      <c r="C28" s="5" t="s">
        <v>40</v>
      </c>
      <c r="D28" s="1" t="str">
        <f>_xlfn.XLOOKUP(C28,CUSTOMERS!A:A,CUSTOMERS!B:B)</f>
        <v>Richter Supermarkt</v>
      </c>
      <c r="E28" s="1" t="str">
        <f>_xlfn.XLOOKUP(D28,CUSTOMERS!B:B,CUSTOMERS!G:G)</f>
        <v>0897-034214</v>
      </c>
      <c r="F28" s="1" t="s">
        <v>43</v>
      </c>
      <c r="G28" s="1" t="str">
        <f>_xlfn.XLOOKUP(F28,PRODUCTS!A:A,PRODUCTS!B:B)</f>
        <v>Raclette Courdavault</v>
      </c>
      <c r="H28" s="1">
        <f>_xlfn.XLOOKUP(G28,PRODUCTS!B:B,PRODUCTS!F:F)</f>
        <v>79</v>
      </c>
      <c r="I28" s="1">
        <v>30</v>
      </c>
      <c r="J28" s="1">
        <v>31.19</v>
      </c>
      <c r="K28" s="1">
        <v>44</v>
      </c>
      <c r="L28" s="4">
        <v>0</v>
      </c>
    </row>
    <row r="29" spans="1:12">
      <c r="A29" s="6">
        <v>17010</v>
      </c>
      <c r="B29" s="3">
        <v>44935</v>
      </c>
      <c r="C29" s="6" t="s">
        <v>40</v>
      </c>
      <c r="D29" s="1" t="str">
        <f>_xlfn.XLOOKUP(C29,CUSTOMERS!A:A,CUSTOMERS!B:B)</f>
        <v>Richter Supermarkt</v>
      </c>
      <c r="E29" s="1" t="str">
        <f>_xlfn.XLOOKUP(D29,CUSTOMERS!B:B,CUSTOMERS!G:G)</f>
        <v>0897-034214</v>
      </c>
      <c r="F29" s="1" t="s">
        <v>44</v>
      </c>
      <c r="G29" s="1" t="str">
        <f>_xlfn.XLOOKUP(F29,PRODUCTS!A:A,PRODUCTS!B:B)</f>
        <v>Inlagd Sill</v>
      </c>
      <c r="H29" s="1">
        <f>_xlfn.XLOOKUP(G29,PRODUCTS!B:B,PRODUCTS!F:F)</f>
        <v>112</v>
      </c>
      <c r="I29" s="1">
        <v>25</v>
      </c>
      <c r="J29" s="1">
        <v>11.86</v>
      </c>
      <c r="K29" s="1">
        <v>15.2</v>
      </c>
      <c r="L29" s="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9831-4426-4065-A03B-A92AC4CA67F0}">
  <sheetPr>
    <tabColor theme="7"/>
  </sheetPr>
  <dimension ref="A1:H78"/>
  <sheetViews>
    <sheetView zoomScale="160" zoomScaleNormal="160" workbookViewId="0">
      <selection activeCell="F1" sqref="F1:F8"/>
    </sheetView>
  </sheetViews>
  <sheetFormatPr defaultRowHeight="14.4"/>
  <cols>
    <col min="1" max="1" width="14" customWidth="1"/>
    <col min="2" max="2" width="33" customWidth="1"/>
    <col min="3" max="3" width="9.44140625" bestFit="1" customWidth="1"/>
    <col min="4" max="5" width="9.6640625" customWidth="1"/>
    <col min="6" max="7" width="12.88671875" customWidth="1"/>
    <col min="8" max="8" width="13" customWidth="1"/>
  </cols>
  <sheetData>
    <row r="1" spans="1:8">
      <c r="A1" s="11" t="s">
        <v>45</v>
      </c>
      <c r="B1" s="11" t="s">
        <v>6</v>
      </c>
      <c r="C1" s="11" t="s">
        <v>46</v>
      </c>
      <c r="D1" s="11" t="s">
        <v>9</v>
      </c>
      <c r="E1" s="11" t="s">
        <v>10</v>
      </c>
      <c r="F1" s="11" t="s">
        <v>47</v>
      </c>
      <c r="G1" s="11" t="s">
        <v>48</v>
      </c>
      <c r="H1" s="11" t="s">
        <v>49</v>
      </c>
    </row>
    <row r="2" spans="1:8">
      <c r="A2" t="s">
        <v>37</v>
      </c>
      <c r="B2" t="s">
        <v>50</v>
      </c>
      <c r="C2">
        <v>4</v>
      </c>
      <c r="D2">
        <v>16.54</v>
      </c>
      <c r="E2">
        <v>18</v>
      </c>
      <c r="F2">
        <v>39</v>
      </c>
      <c r="G2">
        <v>10</v>
      </c>
      <c r="H2" t="b">
        <v>0</v>
      </c>
    </row>
    <row r="3" spans="1:8">
      <c r="A3" t="s">
        <v>41</v>
      </c>
      <c r="B3" t="s">
        <v>51</v>
      </c>
      <c r="C3">
        <v>1</v>
      </c>
      <c r="D3">
        <v>14.25</v>
      </c>
      <c r="E3">
        <v>19</v>
      </c>
      <c r="F3">
        <v>17</v>
      </c>
      <c r="G3">
        <v>25</v>
      </c>
      <c r="H3" t="b">
        <v>0</v>
      </c>
    </row>
    <row r="4" spans="1:8">
      <c r="A4" t="s">
        <v>52</v>
      </c>
      <c r="B4" t="s">
        <v>53</v>
      </c>
      <c r="C4">
        <v>10</v>
      </c>
      <c r="D4">
        <v>3.32</v>
      </c>
      <c r="E4">
        <v>4.5</v>
      </c>
      <c r="F4">
        <v>20</v>
      </c>
      <c r="G4">
        <v>0</v>
      </c>
      <c r="H4" t="b">
        <v>1</v>
      </c>
    </row>
    <row r="5" spans="1:8">
      <c r="A5" t="s">
        <v>54</v>
      </c>
      <c r="B5" t="s">
        <v>55</v>
      </c>
      <c r="C5">
        <v>23</v>
      </c>
      <c r="D5">
        <v>14.54</v>
      </c>
      <c r="E5">
        <v>18</v>
      </c>
      <c r="F5">
        <v>57</v>
      </c>
      <c r="G5">
        <v>20</v>
      </c>
      <c r="H5" t="b">
        <v>0</v>
      </c>
    </row>
    <row r="6" spans="1:8">
      <c r="A6" t="s">
        <v>56</v>
      </c>
      <c r="B6" t="s">
        <v>57</v>
      </c>
      <c r="C6">
        <v>12</v>
      </c>
      <c r="D6">
        <v>5.92</v>
      </c>
      <c r="E6">
        <v>7.75</v>
      </c>
      <c r="F6">
        <v>125</v>
      </c>
      <c r="G6">
        <v>25</v>
      </c>
      <c r="H6" t="b">
        <v>0</v>
      </c>
    </row>
    <row r="7" spans="1:8">
      <c r="A7" t="s">
        <v>58</v>
      </c>
      <c r="B7" t="s">
        <v>59</v>
      </c>
      <c r="C7">
        <v>7</v>
      </c>
      <c r="D7">
        <v>12.51</v>
      </c>
      <c r="E7">
        <v>15</v>
      </c>
      <c r="F7">
        <v>15</v>
      </c>
      <c r="G7">
        <v>30</v>
      </c>
      <c r="H7" t="b">
        <v>0</v>
      </c>
    </row>
    <row r="8" spans="1:8">
      <c r="A8" t="s">
        <v>60</v>
      </c>
      <c r="B8" t="s">
        <v>61</v>
      </c>
      <c r="C8">
        <v>16</v>
      </c>
      <c r="D8">
        <v>10.6</v>
      </c>
      <c r="E8">
        <v>14</v>
      </c>
      <c r="F8">
        <v>52</v>
      </c>
      <c r="G8">
        <v>10</v>
      </c>
      <c r="H8" t="b">
        <v>0</v>
      </c>
    </row>
    <row r="9" spans="1:8">
      <c r="A9" t="s">
        <v>17</v>
      </c>
      <c r="B9" t="s">
        <v>62</v>
      </c>
      <c r="C9">
        <v>18</v>
      </c>
      <c r="D9">
        <v>166.5</v>
      </c>
      <c r="E9">
        <v>185</v>
      </c>
      <c r="F9">
        <v>17</v>
      </c>
      <c r="G9">
        <v>15</v>
      </c>
      <c r="H9" t="b">
        <v>0</v>
      </c>
    </row>
    <row r="10" spans="1:8">
      <c r="A10" t="s">
        <v>63</v>
      </c>
      <c r="B10" t="s">
        <v>64</v>
      </c>
      <c r="C10">
        <v>16</v>
      </c>
      <c r="D10">
        <v>12.85</v>
      </c>
      <c r="E10">
        <v>14</v>
      </c>
      <c r="F10">
        <v>111</v>
      </c>
      <c r="G10">
        <v>15</v>
      </c>
      <c r="H10" t="b">
        <v>0</v>
      </c>
    </row>
    <row r="11" spans="1:8">
      <c r="A11" t="s">
        <v>65</v>
      </c>
      <c r="B11" t="s">
        <v>66</v>
      </c>
      <c r="C11">
        <v>16</v>
      </c>
      <c r="D11">
        <v>14.06</v>
      </c>
      <c r="E11">
        <v>18</v>
      </c>
      <c r="F11">
        <v>20</v>
      </c>
      <c r="G11">
        <v>15</v>
      </c>
      <c r="H11" t="b">
        <v>0</v>
      </c>
    </row>
    <row r="12" spans="1:8">
      <c r="A12" t="s">
        <v>67</v>
      </c>
      <c r="B12" t="s">
        <v>68</v>
      </c>
      <c r="C12">
        <v>20</v>
      </c>
      <c r="D12">
        <v>43.56</v>
      </c>
      <c r="E12">
        <v>46</v>
      </c>
      <c r="F12">
        <v>17</v>
      </c>
      <c r="G12">
        <v>25</v>
      </c>
      <c r="H12" t="b">
        <v>0</v>
      </c>
    </row>
    <row r="13" spans="1:8">
      <c r="A13" t="s">
        <v>32</v>
      </c>
      <c r="B13" t="s">
        <v>69</v>
      </c>
      <c r="C13">
        <v>18</v>
      </c>
      <c r="D13">
        <v>15.73</v>
      </c>
      <c r="E13">
        <v>18</v>
      </c>
      <c r="F13">
        <v>69</v>
      </c>
      <c r="G13">
        <v>5</v>
      </c>
      <c r="H13" t="b">
        <v>0</v>
      </c>
    </row>
    <row r="14" spans="1:8">
      <c r="A14" t="s">
        <v>70</v>
      </c>
      <c r="B14" t="s">
        <v>71</v>
      </c>
      <c r="C14">
        <v>3</v>
      </c>
      <c r="D14">
        <v>38.479999999999997</v>
      </c>
      <c r="E14">
        <v>40</v>
      </c>
      <c r="F14">
        <v>6</v>
      </c>
      <c r="G14">
        <v>0</v>
      </c>
      <c r="H14" t="b">
        <v>0</v>
      </c>
    </row>
    <row r="15" spans="1:8">
      <c r="A15" t="s">
        <v>72</v>
      </c>
      <c r="B15" t="s">
        <v>73</v>
      </c>
      <c r="C15">
        <v>29</v>
      </c>
      <c r="D15">
        <v>26.02</v>
      </c>
      <c r="E15">
        <v>28.5</v>
      </c>
      <c r="F15">
        <v>113</v>
      </c>
      <c r="G15">
        <v>25</v>
      </c>
      <c r="H15" t="b">
        <v>0</v>
      </c>
    </row>
    <row r="16" spans="1:8">
      <c r="A16" t="s">
        <v>74</v>
      </c>
      <c r="B16" t="s">
        <v>75</v>
      </c>
      <c r="C16">
        <v>2</v>
      </c>
      <c r="D16">
        <v>13.8</v>
      </c>
      <c r="E16">
        <v>17</v>
      </c>
      <c r="F16">
        <v>4</v>
      </c>
      <c r="G16">
        <v>20</v>
      </c>
      <c r="H16" t="b">
        <v>0</v>
      </c>
    </row>
    <row r="17" spans="1:8">
      <c r="A17" t="s">
        <v>76</v>
      </c>
      <c r="B17" t="s">
        <v>77</v>
      </c>
      <c r="C17">
        <v>1</v>
      </c>
      <c r="D17">
        <v>9.0299999999999994</v>
      </c>
      <c r="E17">
        <v>10</v>
      </c>
      <c r="F17">
        <v>13</v>
      </c>
      <c r="G17">
        <v>25</v>
      </c>
      <c r="H17" t="b">
        <v>0</v>
      </c>
    </row>
    <row r="18" spans="1:8">
      <c r="A18" t="s">
        <v>21</v>
      </c>
      <c r="B18" t="s">
        <v>78</v>
      </c>
      <c r="C18">
        <v>2</v>
      </c>
      <c r="D18">
        <v>19.010000000000002</v>
      </c>
      <c r="E18">
        <v>21.05</v>
      </c>
      <c r="F18">
        <v>76</v>
      </c>
      <c r="G18">
        <v>0</v>
      </c>
      <c r="H18" t="b">
        <v>0</v>
      </c>
    </row>
    <row r="19" spans="1:8">
      <c r="A19" t="s">
        <v>79</v>
      </c>
      <c r="B19" t="s">
        <v>80</v>
      </c>
      <c r="C19">
        <v>2</v>
      </c>
      <c r="D19">
        <v>18.170000000000002</v>
      </c>
      <c r="E19">
        <v>22</v>
      </c>
      <c r="F19">
        <v>53</v>
      </c>
      <c r="G19">
        <v>0</v>
      </c>
      <c r="H19" t="b">
        <v>0</v>
      </c>
    </row>
    <row r="20" spans="1:8">
      <c r="A20" t="s">
        <v>81</v>
      </c>
      <c r="B20" t="s">
        <v>82</v>
      </c>
      <c r="C20">
        <v>7</v>
      </c>
      <c r="D20">
        <v>37.1</v>
      </c>
      <c r="E20">
        <v>43.9</v>
      </c>
      <c r="F20">
        <v>24</v>
      </c>
      <c r="G20">
        <v>5</v>
      </c>
      <c r="H20" t="b">
        <v>0</v>
      </c>
    </row>
    <row r="21" spans="1:8">
      <c r="A21" t="s">
        <v>83</v>
      </c>
      <c r="B21" t="s">
        <v>84</v>
      </c>
      <c r="C21">
        <v>2</v>
      </c>
      <c r="D21">
        <v>17.61</v>
      </c>
      <c r="E21">
        <v>21.35</v>
      </c>
      <c r="F21">
        <v>0</v>
      </c>
      <c r="G21">
        <v>0</v>
      </c>
      <c r="H21" t="b">
        <v>1</v>
      </c>
    </row>
    <row r="22" spans="1:8">
      <c r="A22" t="s">
        <v>85</v>
      </c>
      <c r="B22" t="s">
        <v>86</v>
      </c>
      <c r="C22">
        <v>6</v>
      </c>
      <c r="D22">
        <v>14.55</v>
      </c>
      <c r="E22">
        <v>15.5</v>
      </c>
      <c r="F22">
        <v>39</v>
      </c>
      <c r="G22">
        <v>5</v>
      </c>
      <c r="H22" t="b">
        <v>0</v>
      </c>
    </row>
    <row r="23" spans="1:8">
      <c r="A23" t="s">
        <v>87</v>
      </c>
      <c r="B23" t="s">
        <v>88</v>
      </c>
      <c r="C23">
        <v>3</v>
      </c>
      <c r="D23">
        <v>23.6</v>
      </c>
      <c r="E23">
        <v>25</v>
      </c>
      <c r="F23">
        <v>120</v>
      </c>
      <c r="G23">
        <v>25</v>
      </c>
      <c r="H23" t="b">
        <v>0</v>
      </c>
    </row>
    <row r="24" spans="1:8">
      <c r="A24" t="s">
        <v>89</v>
      </c>
      <c r="B24" t="s">
        <v>90</v>
      </c>
      <c r="C24">
        <v>20</v>
      </c>
      <c r="D24">
        <v>17.93</v>
      </c>
      <c r="E24">
        <v>19.45</v>
      </c>
      <c r="F24">
        <v>27</v>
      </c>
      <c r="G24">
        <v>15</v>
      </c>
      <c r="H24" t="b">
        <v>0</v>
      </c>
    </row>
    <row r="25" spans="1:8">
      <c r="A25" t="s">
        <v>91</v>
      </c>
      <c r="B25" t="s">
        <v>92</v>
      </c>
      <c r="C25">
        <v>12</v>
      </c>
      <c r="D25">
        <v>10.47</v>
      </c>
      <c r="E25">
        <v>13</v>
      </c>
      <c r="F25">
        <v>32</v>
      </c>
      <c r="G25">
        <v>15</v>
      </c>
      <c r="H25" t="b">
        <v>0</v>
      </c>
    </row>
    <row r="26" spans="1:8">
      <c r="A26" t="s">
        <v>42</v>
      </c>
      <c r="B26" t="s">
        <v>93</v>
      </c>
      <c r="C26">
        <v>7</v>
      </c>
      <c r="D26">
        <v>15.84</v>
      </c>
      <c r="E26">
        <v>17.45</v>
      </c>
      <c r="F26">
        <v>29</v>
      </c>
      <c r="G26">
        <v>10</v>
      </c>
      <c r="H26" t="b">
        <v>0</v>
      </c>
    </row>
    <row r="27" spans="1:8">
      <c r="A27" t="s">
        <v>94</v>
      </c>
      <c r="B27" t="s">
        <v>95</v>
      </c>
      <c r="C27">
        <v>22</v>
      </c>
      <c r="D27">
        <v>8.76</v>
      </c>
      <c r="E27">
        <v>9.5</v>
      </c>
      <c r="F27">
        <v>36</v>
      </c>
      <c r="G27">
        <v>0</v>
      </c>
      <c r="H27" t="b">
        <v>0</v>
      </c>
    </row>
    <row r="28" spans="1:8">
      <c r="A28" t="s">
        <v>96</v>
      </c>
      <c r="B28" t="s">
        <v>97</v>
      </c>
      <c r="C28">
        <v>22</v>
      </c>
      <c r="D28">
        <v>11.83</v>
      </c>
      <c r="E28">
        <v>12.75</v>
      </c>
      <c r="F28">
        <v>15</v>
      </c>
      <c r="G28">
        <v>25</v>
      </c>
      <c r="H28" t="b">
        <v>0</v>
      </c>
    </row>
    <row r="29" spans="1:8">
      <c r="A29" t="s">
        <v>98</v>
      </c>
      <c r="B29" t="s">
        <v>99</v>
      </c>
      <c r="C29">
        <v>11</v>
      </c>
      <c r="D29">
        <v>12.75</v>
      </c>
      <c r="E29">
        <v>14</v>
      </c>
      <c r="F29">
        <v>76</v>
      </c>
      <c r="G29">
        <v>30</v>
      </c>
      <c r="H29" t="b">
        <v>0</v>
      </c>
    </row>
    <row r="30" spans="1:8">
      <c r="A30" t="s">
        <v>33</v>
      </c>
      <c r="B30" t="s">
        <v>100</v>
      </c>
      <c r="C30">
        <v>23</v>
      </c>
      <c r="D30">
        <v>18.059999999999999</v>
      </c>
      <c r="E30">
        <v>20</v>
      </c>
      <c r="F30">
        <v>10</v>
      </c>
      <c r="G30">
        <v>15</v>
      </c>
      <c r="H30" t="b">
        <v>0</v>
      </c>
    </row>
    <row r="31" spans="1:8">
      <c r="A31" t="s">
        <v>101</v>
      </c>
      <c r="B31" t="s">
        <v>102</v>
      </c>
      <c r="C31">
        <v>8</v>
      </c>
      <c r="D31">
        <v>9.1300000000000008</v>
      </c>
      <c r="E31">
        <v>10</v>
      </c>
      <c r="F31">
        <v>3</v>
      </c>
      <c r="G31">
        <v>5</v>
      </c>
      <c r="H31" t="b">
        <v>0</v>
      </c>
    </row>
    <row r="32" spans="1:8">
      <c r="A32" t="s">
        <v>103</v>
      </c>
      <c r="B32" t="s">
        <v>104</v>
      </c>
      <c r="C32">
        <v>23</v>
      </c>
      <c r="D32">
        <v>14.89</v>
      </c>
      <c r="E32">
        <v>16.25</v>
      </c>
      <c r="F32">
        <v>65</v>
      </c>
      <c r="G32">
        <v>30</v>
      </c>
      <c r="H32" t="b">
        <v>0</v>
      </c>
    </row>
    <row r="33" spans="1:8">
      <c r="A33" t="s">
        <v>105</v>
      </c>
      <c r="B33" t="s">
        <v>106</v>
      </c>
      <c r="C33">
        <v>8</v>
      </c>
      <c r="D33">
        <v>11.51</v>
      </c>
      <c r="E33">
        <v>12.5</v>
      </c>
      <c r="F33">
        <v>6</v>
      </c>
      <c r="G33">
        <v>15</v>
      </c>
      <c r="H33" t="b">
        <v>0</v>
      </c>
    </row>
    <row r="34" spans="1:8">
      <c r="A34" t="s">
        <v>107</v>
      </c>
      <c r="B34" t="s">
        <v>108</v>
      </c>
      <c r="C34">
        <v>29</v>
      </c>
      <c r="D34">
        <v>45.06</v>
      </c>
      <c r="E34">
        <v>49.3</v>
      </c>
      <c r="F34">
        <v>17</v>
      </c>
      <c r="G34">
        <v>0</v>
      </c>
      <c r="H34" t="b">
        <v>0</v>
      </c>
    </row>
    <row r="35" spans="1:8">
      <c r="A35" t="s">
        <v>109</v>
      </c>
      <c r="B35" t="s">
        <v>110</v>
      </c>
      <c r="C35">
        <v>11</v>
      </c>
      <c r="D35">
        <v>28.42</v>
      </c>
      <c r="E35">
        <v>31.23</v>
      </c>
      <c r="F35">
        <v>15</v>
      </c>
      <c r="G35">
        <v>0</v>
      </c>
      <c r="H35" t="b">
        <v>0</v>
      </c>
    </row>
    <row r="36" spans="1:8">
      <c r="A36" t="s">
        <v>111</v>
      </c>
      <c r="B36" t="s">
        <v>112</v>
      </c>
      <c r="C36">
        <v>11</v>
      </c>
      <c r="D36">
        <v>40.479999999999997</v>
      </c>
      <c r="E36">
        <v>43.9</v>
      </c>
      <c r="F36">
        <v>49</v>
      </c>
      <c r="G36">
        <v>30</v>
      </c>
      <c r="H36" t="b">
        <v>0</v>
      </c>
    </row>
    <row r="37" spans="1:8">
      <c r="A37" t="s">
        <v>113</v>
      </c>
      <c r="B37" t="s">
        <v>114</v>
      </c>
      <c r="C37">
        <v>8</v>
      </c>
      <c r="D37">
        <v>8.3000000000000007</v>
      </c>
      <c r="E37">
        <v>9.1999999999999993</v>
      </c>
      <c r="F37">
        <v>25</v>
      </c>
      <c r="G37">
        <v>5</v>
      </c>
      <c r="H37" t="b">
        <v>0</v>
      </c>
    </row>
    <row r="38" spans="1:8">
      <c r="A38" t="s">
        <v>29</v>
      </c>
      <c r="B38" t="s">
        <v>115</v>
      </c>
      <c r="C38">
        <v>8</v>
      </c>
      <c r="D38">
        <v>73.95</v>
      </c>
      <c r="E38">
        <v>81</v>
      </c>
      <c r="F38">
        <v>40</v>
      </c>
      <c r="G38">
        <v>0</v>
      </c>
      <c r="H38" t="b">
        <v>0</v>
      </c>
    </row>
    <row r="39" spans="1:8">
      <c r="A39" t="s">
        <v>116</v>
      </c>
      <c r="B39" t="s">
        <v>117</v>
      </c>
      <c r="C39">
        <v>5</v>
      </c>
      <c r="D39">
        <v>24.05</v>
      </c>
      <c r="E39">
        <v>38</v>
      </c>
      <c r="F39">
        <v>86</v>
      </c>
      <c r="G39">
        <v>0</v>
      </c>
      <c r="H39" t="b">
        <v>0</v>
      </c>
    </row>
    <row r="40" spans="1:8">
      <c r="A40" t="s">
        <v>118</v>
      </c>
      <c r="B40" t="s">
        <v>119</v>
      </c>
      <c r="C40">
        <v>15</v>
      </c>
      <c r="D40">
        <v>12.99</v>
      </c>
      <c r="E40">
        <v>21.5</v>
      </c>
      <c r="F40">
        <v>26</v>
      </c>
      <c r="G40">
        <v>0</v>
      </c>
      <c r="H40" t="b">
        <v>0</v>
      </c>
    </row>
    <row r="41" spans="1:8">
      <c r="A41" t="s">
        <v>34</v>
      </c>
      <c r="B41" t="s">
        <v>120</v>
      </c>
      <c r="C41">
        <v>14</v>
      </c>
      <c r="D41">
        <v>9.5</v>
      </c>
      <c r="E41">
        <v>12.5</v>
      </c>
      <c r="F41">
        <v>0</v>
      </c>
      <c r="G41">
        <v>20</v>
      </c>
      <c r="H41" t="b">
        <v>0</v>
      </c>
    </row>
    <row r="42" spans="1:8">
      <c r="A42" t="s">
        <v>13</v>
      </c>
      <c r="B42" t="s">
        <v>121</v>
      </c>
      <c r="C42">
        <v>5</v>
      </c>
      <c r="D42">
        <v>13.86</v>
      </c>
      <c r="E42">
        <v>21</v>
      </c>
      <c r="F42">
        <v>22</v>
      </c>
      <c r="G42">
        <v>30</v>
      </c>
      <c r="H42" t="b">
        <v>0</v>
      </c>
    </row>
    <row r="43" spans="1:8">
      <c r="A43" t="s">
        <v>30</v>
      </c>
      <c r="B43" t="s">
        <v>122</v>
      </c>
      <c r="C43">
        <v>28</v>
      </c>
      <c r="D43">
        <v>25.23</v>
      </c>
      <c r="E43">
        <v>34</v>
      </c>
      <c r="F43">
        <v>19</v>
      </c>
      <c r="G43">
        <v>0</v>
      </c>
      <c r="H43" t="b">
        <v>0</v>
      </c>
    </row>
    <row r="44" spans="1:8">
      <c r="A44" t="s">
        <v>31</v>
      </c>
      <c r="B44" t="s">
        <v>123</v>
      </c>
      <c r="C44">
        <v>15</v>
      </c>
      <c r="D44">
        <v>1.79</v>
      </c>
      <c r="E44">
        <v>2.5</v>
      </c>
      <c r="F44">
        <v>112</v>
      </c>
      <c r="G44">
        <v>20</v>
      </c>
      <c r="H44" t="b">
        <v>0</v>
      </c>
    </row>
    <row r="45" spans="1:8">
      <c r="A45" t="s">
        <v>43</v>
      </c>
      <c r="B45" t="s">
        <v>124</v>
      </c>
      <c r="C45">
        <v>28</v>
      </c>
      <c r="D45">
        <v>35.53</v>
      </c>
      <c r="E45">
        <v>55</v>
      </c>
      <c r="F45">
        <v>79</v>
      </c>
      <c r="G45">
        <v>0</v>
      </c>
      <c r="H45" t="b">
        <v>0</v>
      </c>
    </row>
    <row r="46" spans="1:8">
      <c r="A46" t="s">
        <v>125</v>
      </c>
      <c r="B46" t="s">
        <v>126</v>
      </c>
      <c r="C46">
        <v>14</v>
      </c>
      <c r="D46">
        <v>25.41</v>
      </c>
      <c r="E46">
        <v>32</v>
      </c>
      <c r="F46">
        <v>9</v>
      </c>
      <c r="G46">
        <v>25</v>
      </c>
      <c r="H46" t="b">
        <v>0</v>
      </c>
    </row>
    <row r="47" spans="1:8">
      <c r="A47" t="s">
        <v>14</v>
      </c>
      <c r="B47" t="s">
        <v>127</v>
      </c>
      <c r="C47">
        <v>14</v>
      </c>
      <c r="D47">
        <v>24.53</v>
      </c>
      <c r="E47">
        <v>34.799999999999997</v>
      </c>
      <c r="F47">
        <v>14</v>
      </c>
      <c r="G47">
        <v>0</v>
      </c>
      <c r="H47" t="b">
        <v>0</v>
      </c>
    </row>
    <row r="48" spans="1:8">
      <c r="A48" t="s">
        <v>128</v>
      </c>
      <c r="B48" t="s">
        <v>129</v>
      </c>
      <c r="C48">
        <v>15</v>
      </c>
      <c r="D48">
        <v>28.55</v>
      </c>
      <c r="E48">
        <v>36</v>
      </c>
      <c r="F48">
        <v>26</v>
      </c>
      <c r="G48">
        <v>15</v>
      </c>
      <c r="H48" t="b">
        <v>0</v>
      </c>
    </row>
    <row r="49" spans="1:8">
      <c r="A49" t="s">
        <v>26</v>
      </c>
      <c r="B49" t="s">
        <v>130</v>
      </c>
      <c r="C49">
        <v>26</v>
      </c>
      <c r="D49">
        <v>14.68</v>
      </c>
      <c r="E49">
        <v>19.5</v>
      </c>
      <c r="F49">
        <v>36</v>
      </c>
      <c r="G49">
        <v>20</v>
      </c>
      <c r="H49" t="b">
        <v>0</v>
      </c>
    </row>
    <row r="50" spans="1:8">
      <c r="A50" t="s">
        <v>27</v>
      </c>
      <c r="B50" t="s">
        <v>131</v>
      </c>
      <c r="C50">
        <v>9</v>
      </c>
      <c r="D50">
        <v>14.85</v>
      </c>
      <c r="E50">
        <v>21</v>
      </c>
      <c r="F50">
        <v>104</v>
      </c>
      <c r="G50">
        <v>25</v>
      </c>
      <c r="H50" t="b">
        <v>0</v>
      </c>
    </row>
    <row r="51" spans="1:8">
      <c r="A51" t="s">
        <v>132</v>
      </c>
      <c r="B51" t="s">
        <v>133</v>
      </c>
      <c r="C51">
        <v>12</v>
      </c>
      <c r="D51">
        <v>26.23</v>
      </c>
      <c r="E51">
        <v>33.25</v>
      </c>
      <c r="F51">
        <v>22</v>
      </c>
      <c r="G51">
        <v>30</v>
      </c>
      <c r="H51" t="b">
        <v>0</v>
      </c>
    </row>
    <row r="52" spans="1:8">
      <c r="A52" t="s">
        <v>134</v>
      </c>
      <c r="B52" t="s">
        <v>135</v>
      </c>
      <c r="C52">
        <v>26</v>
      </c>
      <c r="D52">
        <v>26.79</v>
      </c>
      <c r="E52">
        <v>38</v>
      </c>
      <c r="F52">
        <v>21</v>
      </c>
      <c r="G52">
        <v>30</v>
      </c>
      <c r="H52" t="b">
        <v>0</v>
      </c>
    </row>
    <row r="53" spans="1:8">
      <c r="A53" t="s">
        <v>15</v>
      </c>
      <c r="B53" t="s">
        <v>136</v>
      </c>
      <c r="C53">
        <v>20</v>
      </c>
      <c r="D53">
        <v>10.36</v>
      </c>
      <c r="E53">
        <v>14</v>
      </c>
      <c r="F53">
        <v>26</v>
      </c>
      <c r="G53">
        <v>0</v>
      </c>
      <c r="H53" t="b">
        <v>1</v>
      </c>
    </row>
    <row r="54" spans="1:8">
      <c r="A54" t="s">
        <v>24</v>
      </c>
      <c r="B54" t="s">
        <v>137</v>
      </c>
      <c r="C54">
        <v>24</v>
      </c>
      <c r="D54">
        <v>5.6</v>
      </c>
      <c r="E54">
        <v>7</v>
      </c>
      <c r="F54">
        <v>38</v>
      </c>
      <c r="G54">
        <v>25</v>
      </c>
      <c r="H54" t="b">
        <v>0</v>
      </c>
    </row>
    <row r="55" spans="1:8">
      <c r="A55" t="s">
        <v>35</v>
      </c>
      <c r="B55" t="s">
        <v>138</v>
      </c>
      <c r="C55">
        <v>9</v>
      </c>
      <c r="D55">
        <v>6.85</v>
      </c>
      <c r="E55">
        <v>9</v>
      </c>
      <c r="F55">
        <v>61</v>
      </c>
      <c r="G55">
        <v>25</v>
      </c>
      <c r="H55" t="b">
        <v>0</v>
      </c>
    </row>
    <row r="56" spans="1:8">
      <c r="A56" t="s">
        <v>139</v>
      </c>
      <c r="B56" t="s">
        <v>140</v>
      </c>
      <c r="C56">
        <v>24</v>
      </c>
      <c r="D56">
        <v>30.73</v>
      </c>
      <c r="E56">
        <v>32.799999999999997</v>
      </c>
      <c r="F56">
        <v>0</v>
      </c>
      <c r="G56">
        <v>0</v>
      </c>
      <c r="H56" t="b">
        <v>1</v>
      </c>
    </row>
    <row r="57" spans="1:8">
      <c r="A57" t="s">
        <v>38</v>
      </c>
      <c r="B57" t="s">
        <v>141</v>
      </c>
      <c r="C57">
        <v>25</v>
      </c>
      <c r="D57">
        <v>20.93</v>
      </c>
      <c r="E57">
        <v>24</v>
      </c>
      <c r="F57">
        <v>115</v>
      </c>
      <c r="G57">
        <v>20</v>
      </c>
      <c r="H57" t="b">
        <v>0</v>
      </c>
    </row>
    <row r="58" spans="1:8">
      <c r="A58" t="s">
        <v>142</v>
      </c>
      <c r="B58" t="s">
        <v>143</v>
      </c>
      <c r="C58">
        <v>25</v>
      </c>
      <c r="D58">
        <v>6.65</v>
      </c>
      <c r="E58">
        <v>7.45</v>
      </c>
      <c r="F58">
        <v>21</v>
      </c>
      <c r="G58">
        <v>10</v>
      </c>
      <c r="H58" t="b">
        <v>0</v>
      </c>
    </row>
    <row r="59" spans="1:8">
      <c r="A59" t="s">
        <v>144</v>
      </c>
      <c r="B59" t="s">
        <v>145</v>
      </c>
      <c r="C59">
        <v>4</v>
      </c>
      <c r="D59">
        <v>77.5</v>
      </c>
      <c r="E59">
        <v>97</v>
      </c>
      <c r="F59">
        <v>29</v>
      </c>
      <c r="G59">
        <v>0</v>
      </c>
      <c r="H59" t="b">
        <v>1</v>
      </c>
    </row>
    <row r="60" spans="1:8">
      <c r="A60" t="s">
        <v>146</v>
      </c>
      <c r="B60" t="s">
        <v>147</v>
      </c>
      <c r="C60">
        <v>12</v>
      </c>
      <c r="D60">
        <v>106.09</v>
      </c>
      <c r="E60">
        <v>123.79</v>
      </c>
      <c r="F60">
        <v>0</v>
      </c>
      <c r="G60">
        <v>0</v>
      </c>
      <c r="H60" t="b">
        <v>1</v>
      </c>
    </row>
    <row r="61" spans="1:8">
      <c r="A61" t="s">
        <v>148</v>
      </c>
      <c r="B61" t="s">
        <v>149</v>
      </c>
      <c r="C61">
        <v>7</v>
      </c>
      <c r="D61">
        <v>32.6</v>
      </c>
      <c r="E61">
        <v>39</v>
      </c>
      <c r="F61">
        <v>0</v>
      </c>
      <c r="G61">
        <v>0</v>
      </c>
      <c r="H61" t="b">
        <v>1</v>
      </c>
    </row>
    <row r="62" spans="1:8">
      <c r="A62" t="s">
        <v>39</v>
      </c>
      <c r="B62" t="s">
        <v>150</v>
      </c>
      <c r="C62">
        <v>4</v>
      </c>
      <c r="D62">
        <v>8.2200000000000006</v>
      </c>
      <c r="E62">
        <v>10</v>
      </c>
      <c r="F62">
        <v>4</v>
      </c>
      <c r="G62">
        <v>5</v>
      </c>
      <c r="H62" t="b">
        <v>0</v>
      </c>
    </row>
    <row r="63" spans="1:8">
      <c r="A63" t="s">
        <v>18</v>
      </c>
      <c r="B63" t="s">
        <v>151</v>
      </c>
      <c r="C63">
        <v>6</v>
      </c>
      <c r="D63">
        <v>20.65</v>
      </c>
      <c r="E63">
        <v>23.25</v>
      </c>
      <c r="F63">
        <v>35</v>
      </c>
      <c r="G63">
        <v>0</v>
      </c>
      <c r="H63" t="b">
        <v>0</v>
      </c>
    </row>
    <row r="64" spans="1:8">
      <c r="A64" t="s">
        <v>152</v>
      </c>
      <c r="B64" t="s">
        <v>153</v>
      </c>
      <c r="C64">
        <v>12</v>
      </c>
      <c r="D64">
        <v>38.4</v>
      </c>
      <c r="E64">
        <v>45.6</v>
      </c>
      <c r="F64">
        <v>26</v>
      </c>
      <c r="G64">
        <v>0</v>
      </c>
      <c r="H64" t="b">
        <v>1</v>
      </c>
    </row>
    <row r="65" spans="1:8">
      <c r="A65" t="s">
        <v>19</v>
      </c>
      <c r="B65" t="s">
        <v>154</v>
      </c>
      <c r="C65">
        <v>24</v>
      </c>
      <c r="D65">
        <v>43.04</v>
      </c>
      <c r="E65">
        <v>53</v>
      </c>
      <c r="F65">
        <v>20</v>
      </c>
      <c r="G65">
        <v>10</v>
      </c>
      <c r="H65" t="b">
        <v>0</v>
      </c>
    </row>
    <row r="66" spans="1:8">
      <c r="A66" t="s">
        <v>155</v>
      </c>
      <c r="B66" t="s">
        <v>156</v>
      </c>
      <c r="C66">
        <v>3</v>
      </c>
      <c r="D66">
        <v>25.98</v>
      </c>
      <c r="E66">
        <v>30</v>
      </c>
      <c r="F66">
        <v>15</v>
      </c>
      <c r="G66">
        <v>10</v>
      </c>
      <c r="H66" t="b">
        <v>0</v>
      </c>
    </row>
    <row r="67" spans="1:8">
      <c r="A67" t="s">
        <v>157</v>
      </c>
      <c r="B67" t="s">
        <v>158</v>
      </c>
      <c r="C67">
        <v>4</v>
      </c>
      <c r="D67">
        <v>24.18</v>
      </c>
      <c r="E67">
        <v>31</v>
      </c>
      <c r="F67">
        <v>31</v>
      </c>
      <c r="G67">
        <v>0</v>
      </c>
      <c r="H67" t="b">
        <v>0</v>
      </c>
    </row>
    <row r="68" spans="1:8">
      <c r="A68" t="s">
        <v>159</v>
      </c>
      <c r="B68" t="s">
        <v>160</v>
      </c>
      <c r="C68">
        <v>17</v>
      </c>
      <c r="D68">
        <v>18.41</v>
      </c>
      <c r="E68">
        <v>26</v>
      </c>
      <c r="F68">
        <v>11</v>
      </c>
      <c r="G68">
        <v>25</v>
      </c>
      <c r="H68" t="b">
        <v>0</v>
      </c>
    </row>
    <row r="69" spans="1:8">
      <c r="A69" t="s">
        <v>44</v>
      </c>
      <c r="B69" t="s">
        <v>161</v>
      </c>
      <c r="C69">
        <v>17</v>
      </c>
      <c r="D69">
        <v>13.55</v>
      </c>
      <c r="E69">
        <v>19</v>
      </c>
      <c r="F69">
        <v>112</v>
      </c>
      <c r="G69">
        <v>20</v>
      </c>
      <c r="H69" t="b">
        <v>0</v>
      </c>
    </row>
    <row r="70" spans="1:8">
      <c r="A70" t="s">
        <v>162</v>
      </c>
      <c r="B70" t="s">
        <v>163</v>
      </c>
      <c r="C70">
        <v>7</v>
      </c>
      <c r="D70">
        <v>47.81</v>
      </c>
      <c r="E70">
        <v>62.5</v>
      </c>
      <c r="F70">
        <v>42</v>
      </c>
      <c r="G70">
        <v>0</v>
      </c>
      <c r="H70" t="b">
        <v>0</v>
      </c>
    </row>
    <row r="71" spans="1:8">
      <c r="A71" t="s">
        <v>164</v>
      </c>
      <c r="B71" t="s">
        <v>165</v>
      </c>
      <c r="C71">
        <v>21</v>
      </c>
      <c r="D71">
        <v>7.97</v>
      </c>
      <c r="E71">
        <v>9.5</v>
      </c>
      <c r="F71">
        <v>5</v>
      </c>
      <c r="G71">
        <v>15</v>
      </c>
      <c r="H71" t="b">
        <v>0</v>
      </c>
    </row>
    <row r="72" spans="1:8">
      <c r="A72" t="s">
        <v>22</v>
      </c>
      <c r="B72" t="s">
        <v>166</v>
      </c>
      <c r="C72">
        <v>19</v>
      </c>
      <c r="D72">
        <v>7.58</v>
      </c>
      <c r="E72">
        <v>9.65</v>
      </c>
      <c r="F72">
        <v>85</v>
      </c>
      <c r="G72">
        <v>10</v>
      </c>
      <c r="H72" t="b">
        <v>0</v>
      </c>
    </row>
    <row r="73" spans="1:8">
      <c r="A73" t="s">
        <v>167</v>
      </c>
      <c r="B73" t="s">
        <v>168</v>
      </c>
      <c r="C73">
        <v>19</v>
      </c>
      <c r="D73">
        <v>15.44</v>
      </c>
      <c r="E73">
        <v>18.399999999999999</v>
      </c>
      <c r="F73">
        <v>123</v>
      </c>
      <c r="G73">
        <v>30</v>
      </c>
      <c r="H73" t="b">
        <v>0</v>
      </c>
    </row>
    <row r="74" spans="1:8">
      <c r="A74" t="s">
        <v>169</v>
      </c>
      <c r="B74" t="s">
        <v>170</v>
      </c>
      <c r="C74">
        <v>13</v>
      </c>
      <c r="D74">
        <v>20.53</v>
      </c>
      <c r="E74">
        <v>25.89</v>
      </c>
      <c r="F74">
        <v>10</v>
      </c>
      <c r="G74">
        <v>15</v>
      </c>
      <c r="H74" t="b">
        <v>0</v>
      </c>
    </row>
    <row r="75" spans="1:8">
      <c r="A75" t="s">
        <v>171</v>
      </c>
      <c r="B75" t="s">
        <v>172</v>
      </c>
      <c r="C75">
        <v>6</v>
      </c>
      <c r="D75">
        <v>4.49</v>
      </c>
      <c r="E75">
        <v>6</v>
      </c>
      <c r="F75">
        <v>24</v>
      </c>
      <c r="G75">
        <v>5</v>
      </c>
      <c r="H75" t="b">
        <v>0</v>
      </c>
    </row>
    <row r="76" spans="1:8">
      <c r="A76" t="s">
        <v>173</v>
      </c>
      <c r="B76" t="s">
        <v>174</v>
      </c>
      <c r="C76">
        <v>27</v>
      </c>
      <c r="D76">
        <v>8.57</v>
      </c>
      <c r="E76">
        <v>13.25</v>
      </c>
      <c r="F76">
        <v>62</v>
      </c>
      <c r="G76">
        <v>20</v>
      </c>
      <c r="H76" t="b">
        <v>0</v>
      </c>
    </row>
    <row r="77" spans="1:8">
      <c r="A77" t="s">
        <v>175</v>
      </c>
      <c r="B77" t="s">
        <v>176</v>
      </c>
      <c r="C77">
        <v>17</v>
      </c>
      <c r="D77">
        <v>10.7</v>
      </c>
      <c r="E77">
        <v>15</v>
      </c>
      <c r="F77">
        <v>101</v>
      </c>
      <c r="G77">
        <v>5</v>
      </c>
      <c r="H77" t="b">
        <v>0</v>
      </c>
    </row>
    <row r="78" spans="1:8">
      <c r="A78" t="s">
        <v>177</v>
      </c>
      <c r="B78" t="s">
        <v>178</v>
      </c>
      <c r="C78">
        <v>21</v>
      </c>
      <c r="D78">
        <v>9.74</v>
      </c>
      <c r="E78">
        <v>12</v>
      </c>
      <c r="F78">
        <v>95</v>
      </c>
      <c r="G78">
        <v>0</v>
      </c>
      <c r="H78" t="b">
        <v>0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DF9B-7F5C-4E5A-B238-B5B4BACF9BCB}">
  <sheetPr>
    <tabColor theme="9"/>
  </sheetPr>
  <dimension ref="A1:G98"/>
  <sheetViews>
    <sheetView zoomScale="162" zoomScaleNormal="162" workbookViewId="0">
      <selection activeCell="G1" sqref="G1"/>
    </sheetView>
  </sheetViews>
  <sheetFormatPr defaultRowHeight="14.4"/>
  <cols>
    <col min="1" max="1" width="14" customWidth="1"/>
    <col min="2" max="2" width="28" customWidth="1"/>
    <col min="3" max="3" width="23" customWidth="1"/>
    <col min="4" max="4" width="26.109375" bestFit="1" customWidth="1"/>
    <col min="5" max="5" width="14" customWidth="1"/>
    <col min="6" max="7" width="16.44140625" customWidth="1"/>
  </cols>
  <sheetData>
    <row r="1" spans="1:7">
      <c r="A1" s="12" t="s">
        <v>2</v>
      </c>
      <c r="B1" s="12" t="s">
        <v>179</v>
      </c>
      <c r="C1" s="12" t="s">
        <v>180</v>
      </c>
      <c r="D1" s="12" t="s">
        <v>181</v>
      </c>
      <c r="E1" s="12" t="s">
        <v>182</v>
      </c>
      <c r="F1" s="12" t="s">
        <v>183</v>
      </c>
      <c r="G1" s="12" t="s">
        <v>4</v>
      </c>
    </row>
    <row r="2" spans="1:7">
      <c r="A2" t="s">
        <v>12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s="9" t="s">
        <v>189</v>
      </c>
    </row>
    <row r="3" spans="1:7">
      <c r="A3" t="s">
        <v>190</v>
      </c>
      <c r="B3" t="s">
        <v>191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</row>
    <row r="4" spans="1:7">
      <c r="A4" t="s">
        <v>197</v>
      </c>
      <c r="B4" t="s">
        <v>198</v>
      </c>
      <c r="C4" t="s">
        <v>199</v>
      </c>
      <c r="D4" t="s">
        <v>193</v>
      </c>
      <c r="E4" t="s">
        <v>194</v>
      </c>
      <c r="F4" t="s">
        <v>195</v>
      </c>
      <c r="G4" t="s">
        <v>200</v>
      </c>
    </row>
    <row r="5" spans="1:7">
      <c r="A5" t="s">
        <v>201</v>
      </c>
      <c r="B5" t="s">
        <v>202</v>
      </c>
      <c r="C5" t="s">
        <v>203</v>
      </c>
      <c r="D5" t="s">
        <v>186</v>
      </c>
      <c r="E5" t="s">
        <v>204</v>
      </c>
      <c r="F5" t="s">
        <v>205</v>
      </c>
      <c r="G5" t="s">
        <v>206</v>
      </c>
    </row>
    <row r="6" spans="1:7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188</v>
      </c>
      <c r="G6" t="s">
        <v>212</v>
      </c>
    </row>
    <row r="7" spans="1:7">
      <c r="A7" t="s">
        <v>213</v>
      </c>
      <c r="B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219</v>
      </c>
    </row>
    <row r="8" spans="1:7">
      <c r="A8" t="s">
        <v>220</v>
      </c>
      <c r="B8" t="s">
        <v>221</v>
      </c>
      <c r="C8" t="s">
        <v>222</v>
      </c>
      <c r="D8" t="s">
        <v>186</v>
      </c>
      <c r="E8" t="s">
        <v>223</v>
      </c>
      <c r="F8" t="s">
        <v>224</v>
      </c>
      <c r="G8" t="s">
        <v>225</v>
      </c>
    </row>
    <row r="9" spans="1:7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G9" t="s">
        <v>232</v>
      </c>
    </row>
    <row r="10" spans="1:7">
      <c r="A10" t="s">
        <v>233</v>
      </c>
      <c r="B10" t="s">
        <v>234</v>
      </c>
      <c r="C10" t="s">
        <v>235</v>
      </c>
      <c r="D10" t="s">
        <v>193</v>
      </c>
      <c r="E10" t="s">
        <v>236</v>
      </c>
      <c r="F10" t="s">
        <v>237</v>
      </c>
      <c r="G10" t="s">
        <v>238</v>
      </c>
    </row>
    <row r="11" spans="1:7">
      <c r="A11" t="s">
        <v>239</v>
      </c>
      <c r="B11" t="s">
        <v>240</v>
      </c>
      <c r="C11" t="s">
        <v>241</v>
      </c>
      <c r="D11" t="s">
        <v>193</v>
      </c>
      <c r="E11" t="s">
        <v>242</v>
      </c>
      <c r="F11" t="s">
        <v>231</v>
      </c>
      <c r="G11" t="s">
        <v>243</v>
      </c>
    </row>
    <row r="12" spans="1:7">
      <c r="A12" t="s">
        <v>244</v>
      </c>
      <c r="B12" t="s">
        <v>245</v>
      </c>
      <c r="C12" t="s">
        <v>246</v>
      </c>
      <c r="D12" t="s">
        <v>247</v>
      </c>
      <c r="E12" t="s">
        <v>248</v>
      </c>
      <c r="F12" t="s">
        <v>249</v>
      </c>
      <c r="G12" t="s">
        <v>250</v>
      </c>
    </row>
    <row r="13" spans="1:7">
      <c r="A13" t="s">
        <v>251</v>
      </c>
      <c r="B13" t="s">
        <v>252</v>
      </c>
      <c r="C13" t="s">
        <v>253</v>
      </c>
      <c r="D13" t="s">
        <v>186</v>
      </c>
      <c r="E13" t="s">
        <v>204</v>
      </c>
      <c r="F13" t="s">
        <v>205</v>
      </c>
      <c r="G13" t="s">
        <v>254</v>
      </c>
    </row>
    <row r="14" spans="1:7">
      <c r="A14" t="s">
        <v>255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</row>
    <row r="15" spans="1:7">
      <c r="A15" t="s">
        <v>262</v>
      </c>
      <c r="B15" t="s">
        <v>263</v>
      </c>
      <c r="C15" t="s">
        <v>264</v>
      </c>
      <c r="D15" t="s">
        <v>229</v>
      </c>
      <c r="E15" t="s">
        <v>194</v>
      </c>
      <c r="F15" t="s">
        <v>195</v>
      </c>
      <c r="G15" t="s">
        <v>265</v>
      </c>
    </row>
    <row r="16" spans="1:7">
      <c r="A16" t="s">
        <v>266</v>
      </c>
      <c r="B16" t="s">
        <v>267</v>
      </c>
      <c r="C16" t="s">
        <v>268</v>
      </c>
      <c r="D16" t="s">
        <v>210</v>
      </c>
      <c r="E16" t="s">
        <v>269</v>
      </c>
      <c r="F16" t="s">
        <v>188</v>
      </c>
      <c r="G16" t="s">
        <v>270</v>
      </c>
    </row>
    <row r="17" spans="1:7">
      <c r="A17" t="s">
        <v>36</v>
      </c>
      <c r="B17" t="s">
        <v>271</v>
      </c>
      <c r="C17" t="s">
        <v>272</v>
      </c>
      <c r="D17" t="s">
        <v>193</v>
      </c>
      <c r="E17" t="s">
        <v>273</v>
      </c>
      <c r="F17" t="s">
        <v>274</v>
      </c>
      <c r="G17" t="s">
        <v>275</v>
      </c>
    </row>
    <row r="18" spans="1:7">
      <c r="A18" t="s">
        <v>276</v>
      </c>
      <c r="B18" t="s">
        <v>277</v>
      </c>
      <c r="C18" t="s">
        <v>278</v>
      </c>
      <c r="D18" t="s">
        <v>279</v>
      </c>
      <c r="E18" t="s">
        <v>280</v>
      </c>
      <c r="F18" t="s">
        <v>281</v>
      </c>
      <c r="G18" t="s">
        <v>282</v>
      </c>
    </row>
    <row r="19" spans="1:7">
      <c r="A19" t="s">
        <v>283</v>
      </c>
      <c r="B19" t="s">
        <v>284</v>
      </c>
      <c r="C19" t="s">
        <v>285</v>
      </c>
      <c r="D19" t="s">
        <v>186</v>
      </c>
      <c r="E19" t="s">
        <v>204</v>
      </c>
      <c r="F19" t="s">
        <v>205</v>
      </c>
      <c r="G19" t="s">
        <v>286</v>
      </c>
    </row>
    <row r="20" spans="1:7">
      <c r="A20" t="s">
        <v>287</v>
      </c>
      <c r="B20" t="s">
        <v>288</v>
      </c>
      <c r="C20" t="s">
        <v>289</v>
      </c>
      <c r="D20" t="s">
        <v>216</v>
      </c>
      <c r="E20" t="s">
        <v>290</v>
      </c>
      <c r="F20" t="s">
        <v>224</v>
      </c>
      <c r="G20" t="s">
        <v>291</v>
      </c>
    </row>
    <row r="21" spans="1:7">
      <c r="A21" t="s">
        <v>292</v>
      </c>
      <c r="B21" t="s">
        <v>293</v>
      </c>
      <c r="C21" t="s">
        <v>294</v>
      </c>
      <c r="D21" t="s">
        <v>193</v>
      </c>
      <c r="E21" t="s">
        <v>295</v>
      </c>
      <c r="F21" t="s">
        <v>231</v>
      </c>
      <c r="G21" t="s">
        <v>296</v>
      </c>
    </row>
    <row r="22" spans="1:7">
      <c r="A22" t="s">
        <v>297</v>
      </c>
      <c r="B22" t="s">
        <v>298</v>
      </c>
      <c r="C22" t="s">
        <v>299</v>
      </c>
      <c r="D22" t="s">
        <v>258</v>
      </c>
      <c r="E22" t="s">
        <v>204</v>
      </c>
      <c r="F22" t="s">
        <v>205</v>
      </c>
      <c r="G22" t="s">
        <v>300</v>
      </c>
    </row>
    <row r="23" spans="1:7">
      <c r="A23" t="s">
        <v>301</v>
      </c>
      <c r="B23" t="s">
        <v>302</v>
      </c>
      <c r="C23" t="s">
        <v>303</v>
      </c>
      <c r="D23" t="s">
        <v>210</v>
      </c>
      <c r="E23" t="s">
        <v>304</v>
      </c>
      <c r="F23" t="s">
        <v>305</v>
      </c>
      <c r="G23" t="s">
        <v>306</v>
      </c>
    </row>
    <row r="24" spans="1:7">
      <c r="A24" t="s">
        <v>307</v>
      </c>
      <c r="B24" t="s">
        <v>308</v>
      </c>
      <c r="C24" t="s">
        <v>309</v>
      </c>
      <c r="D24" t="s">
        <v>310</v>
      </c>
      <c r="E24" t="s">
        <v>280</v>
      </c>
      <c r="F24" t="s">
        <v>281</v>
      </c>
      <c r="G24" t="s">
        <v>311</v>
      </c>
    </row>
    <row r="25" spans="1:7">
      <c r="A25" t="s">
        <v>312</v>
      </c>
      <c r="B25" t="s">
        <v>313</v>
      </c>
      <c r="C25" t="s">
        <v>314</v>
      </c>
      <c r="D25" t="s">
        <v>247</v>
      </c>
      <c r="E25" t="s">
        <v>236</v>
      </c>
      <c r="F25" t="s">
        <v>237</v>
      </c>
      <c r="G25" t="s">
        <v>315</v>
      </c>
    </row>
    <row r="26" spans="1:7">
      <c r="A26" t="s">
        <v>316</v>
      </c>
      <c r="B26" t="s">
        <v>317</v>
      </c>
      <c r="C26" t="s">
        <v>318</v>
      </c>
      <c r="D26" t="s">
        <v>319</v>
      </c>
      <c r="E26" t="s">
        <v>320</v>
      </c>
      <c r="F26" t="s">
        <v>231</v>
      </c>
      <c r="G26" t="s">
        <v>321</v>
      </c>
    </row>
    <row r="27" spans="1:7">
      <c r="A27" t="s">
        <v>322</v>
      </c>
      <c r="B27" t="s">
        <v>323</v>
      </c>
      <c r="C27" t="s">
        <v>324</v>
      </c>
      <c r="D27" t="s">
        <v>193</v>
      </c>
      <c r="E27" t="s">
        <v>325</v>
      </c>
      <c r="F27" t="s">
        <v>218</v>
      </c>
      <c r="G27" t="s">
        <v>326</v>
      </c>
    </row>
    <row r="28" spans="1:7">
      <c r="A28" t="s">
        <v>327</v>
      </c>
      <c r="B28" t="s">
        <v>328</v>
      </c>
      <c r="C28" t="s">
        <v>329</v>
      </c>
      <c r="D28" t="s">
        <v>229</v>
      </c>
      <c r="E28" t="s">
        <v>330</v>
      </c>
      <c r="F28" t="s">
        <v>224</v>
      </c>
      <c r="G28" t="s">
        <v>331</v>
      </c>
    </row>
    <row r="29" spans="1:7">
      <c r="A29" t="s">
        <v>332</v>
      </c>
      <c r="B29" t="s">
        <v>333</v>
      </c>
      <c r="C29" t="s">
        <v>334</v>
      </c>
      <c r="D29" t="s">
        <v>229</v>
      </c>
      <c r="E29" t="s">
        <v>295</v>
      </c>
      <c r="F29" t="s">
        <v>231</v>
      </c>
      <c r="G29" t="s">
        <v>335</v>
      </c>
    </row>
    <row r="30" spans="1:7">
      <c r="A30" t="s">
        <v>336</v>
      </c>
      <c r="B30" t="s">
        <v>337</v>
      </c>
      <c r="C30" t="s">
        <v>338</v>
      </c>
      <c r="D30" t="s">
        <v>186</v>
      </c>
      <c r="E30" t="s">
        <v>339</v>
      </c>
      <c r="F30" t="s">
        <v>340</v>
      </c>
      <c r="G30" t="s">
        <v>341</v>
      </c>
    </row>
    <row r="31" spans="1:7">
      <c r="A31" t="s">
        <v>342</v>
      </c>
      <c r="B31" t="s">
        <v>343</v>
      </c>
      <c r="C31" t="s">
        <v>344</v>
      </c>
      <c r="D31" t="s">
        <v>210</v>
      </c>
      <c r="E31" t="s">
        <v>345</v>
      </c>
      <c r="F31" t="s">
        <v>346</v>
      </c>
      <c r="G31" t="s">
        <v>347</v>
      </c>
    </row>
    <row r="32" spans="1:7">
      <c r="A32" t="s">
        <v>348</v>
      </c>
      <c r="B32" t="s">
        <v>349</v>
      </c>
      <c r="C32" t="s">
        <v>350</v>
      </c>
      <c r="D32" t="s">
        <v>229</v>
      </c>
      <c r="E32" t="s">
        <v>351</v>
      </c>
      <c r="F32" t="s">
        <v>237</v>
      </c>
      <c r="G32" t="s">
        <v>352</v>
      </c>
    </row>
    <row r="33" spans="1:7">
      <c r="A33" t="s">
        <v>353</v>
      </c>
      <c r="B33" t="s">
        <v>354</v>
      </c>
      <c r="C33" t="s">
        <v>355</v>
      </c>
      <c r="D33" t="s">
        <v>210</v>
      </c>
      <c r="E33" t="s">
        <v>356</v>
      </c>
      <c r="F33" t="s">
        <v>237</v>
      </c>
      <c r="G33" t="s">
        <v>357</v>
      </c>
    </row>
    <row r="34" spans="1:7">
      <c r="A34" t="s">
        <v>358</v>
      </c>
      <c r="B34" t="s">
        <v>359</v>
      </c>
      <c r="C34" t="s">
        <v>360</v>
      </c>
      <c r="D34" t="s">
        <v>279</v>
      </c>
      <c r="E34" t="s">
        <v>361</v>
      </c>
      <c r="F34" t="s">
        <v>281</v>
      </c>
      <c r="G34" t="s">
        <v>362</v>
      </c>
    </row>
    <row r="35" spans="1:7">
      <c r="A35" t="s">
        <v>363</v>
      </c>
      <c r="B35" t="s">
        <v>364</v>
      </c>
      <c r="C35" t="s">
        <v>365</v>
      </c>
      <c r="D35" t="s">
        <v>229</v>
      </c>
      <c r="E35" t="s">
        <v>366</v>
      </c>
      <c r="F35" t="s">
        <v>367</v>
      </c>
      <c r="G35" t="s">
        <v>368</v>
      </c>
    </row>
    <row r="36" spans="1:7">
      <c r="A36" t="s">
        <v>369</v>
      </c>
      <c r="B36" t="s">
        <v>370</v>
      </c>
      <c r="C36" t="s">
        <v>371</v>
      </c>
      <c r="D36" t="s">
        <v>193</v>
      </c>
      <c r="E36" t="s">
        <v>372</v>
      </c>
      <c r="F36" t="s">
        <v>373</v>
      </c>
      <c r="G36" t="s">
        <v>374</v>
      </c>
    </row>
    <row r="37" spans="1:7">
      <c r="A37" t="s">
        <v>20</v>
      </c>
      <c r="B37" t="s">
        <v>375</v>
      </c>
      <c r="C37" t="s">
        <v>376</v>
      </c>
      <c r="D37" t="s">
        <v>247</v>
      </c>
      <c r="E37" t="s">
        <v>377</v>
      </c>
      <c r="F37" t="s">
        <v>281</v>
      </c>
      <c r="G37" t="s">
        <v>378</v>
      </c>
    </row>
    <row r="38" spans="1:7">
      <c r="A38" t="s">
        <v>379</v>
      </c>
      <c r="B38" t="s">
        <v>380</v>
      </c>
      <c r="C38" t="s">
        <v>381</v>
      </c>
      <c r="D38" t="s">
        <v>186</v>
      </c>
      <c r="E38" t="s">
        <v>382</v>
      </c>
      <c r="F38" t="s">
        <v>373</v>
      </c>
      <c r="G38" t="s">
        <v>383</v>
      </c>
    </row>
    <row r="39" spans="1:7">
      <c r="A39" t="s">
        <v>384</v>
      </c>
      <c r="B39" t="s">
        <v>385</v>
      </c>
      <c r="C39" t="s">
        <v>386</v>
      </c>
      <c r="D39" t="s">
        <v>186</v>
      </c>
      <c r="E39" t="s">
        <v>387</v>
      </c>
      <c r="F39" t="s">
        <v>367</v>
      </c>
      <c r="G39" t="s">
        <v>388</v>
      </c>
    </row>
    <row r="40" spans="1:7">
      <c r="A40" t="s">
        <v>389</v>
      </c>
      <c r="B40" t="s">
        <v>390</v>
      </c>
      <c r="C40" t="s">
        <v>391</v>
      </c>
      <c r="D40" t="s">
        <v>279</v>
      </c>
      <c r="E40" t="s">
        <v>392</v>
      </c>
      <c r="F40" t="s">
        <v>393</v>
      </c>
      <c r="G40" t="s">
        <v>394</v>
      </c>
    </row>
    <row r="41" spans="1:7">
      <c r="A41" t="s">
        <v>395</v>
      </c>
      <c r="B41" t="s">
        <v>396</v>
      </c>
      <c r="C41" t="s">
        <v>397</v>
      </c>
      <c r="D41" t="s">
        <v>229</v>
      </c>
      <c r="E41" t="s">
        <v>398</v>
      </c>
      <c r="F41" t="s">
        <v>205</v>
      </c>
      <c r="G41" t="s">
        <v>399</v>
      </c>
    </row>
    <row r="42" spans="1:7">
      <c r="A42" t="s">
        <v>400</v>
      </c>
      <c r="B42" t="s">
        <v>401</v>
      </c>
      <c r="C42" t="s">
        <v>402</v>
      </c>
      <c r="D42" t="s">
        <v>279</v>
      </c>
      <c r="E42" t="s">
        <v>403</v>
      </c>
      <c r="F42" t="s">
        <v>224</v>
      </c>
      <c r="G42" t="s">
        <v>404</v>
      </c>
    </row>
    <row r="43" spans="1:7">
      <c r="A43" t="s">
        <v>405</v>
      </c>
      <c r="B43" t="s">
        <v>406</v>
      </c>
      <c r="C43" t="s">
        <v>407</v>
      </c>
      <c r="D43" t="s">
        <v>186</v>
      </c>
      <c r="E43" t="s">
        <v>408</v>
      </c>
      <c r="F43" t="s">
        <v>231</v>
      </c>
      <c r="G43" t="s">
        <v>409</v>
      </c>
    </row>
    <row r="44" spans="1:7">
      <c r="A44" t="s">
        <v>410</v>
      </c>
      <c r="B44" t="s">
        <v>411</v>
      </c>
      <c r="C44" t="s">
        <v>412</v>
      </c>
      <c r="D44" t="s">
        <v>210</v>
      </c>
      <c r="E44" t="s">
        <v>413</v>
      </c>
      <c r="F44" t="s">
        <v>231</v>
      </c>
      <c r="G44" t="s">
        <v>414</v>
      </c>
    </row>
    <row r="45" spans="1:7">
      <c r="A45" t="s">
        <v>415</v>
      </c>
      <c r="B45" t="s">
        <v>416</v>
      </c>
      <c r="C45" t="s">
        <v>417</v>
      </c>
      <c r="D45" t="s">
        <v>310</v>
      </c>
      <c r="E45" t="s">
        <v>418</v>
      </c>
      <c r="F45" t="s">
        <v>249</v>
      </c>
      <c r="G45" t="s">
        <v>419</v>
      </c>
    </row>
    <row r="46" spans="1:7">
      <c r="A46" t="s">
        <v>420</v>
      </c>
      <c r="B46" t="s">
        <v>421</v>
      </c>
      <c r="C46" t="s">
        <v>422</v>
      </c>
      <c r="D46" t="s">
        <v>229</v>
      </c>
      <c r="E46" t="s">
        <v>423</v>
      </c>
      <c r="F46" t="s">
        <v>367</v>
      </c>
      <c r="G46" t="s">
        <v>424</v>
      </c>
    </row>
    <row r="47" spans="1:7">
      <c r="A47" t="s">
        <v>23</v>
      </c>
      <c r="B47" t="s">
        <v>425</v>
      </c>
      <c r="C47" t="s">
        <v>426</v>
      </c>
      <c r="D47" t="s">
        <v>186</v>
      </c>
      <c r="E47" t="s">
        <v>427</v>
      </c>
      <c r="F47" t="s">
        <v>224</v>
      </c>
      <c r="G47" t="s">
        <v>428</v>
      </c>
    </row>
    <row r="48" spans="1:7">
      <c r="A48" t="s">
        <v>429</v>
      </c>
      <c r="B48" t="s">
        <v>430</v>
      </c>
      <c r="C48" t="s">
        <v>431</v>
      </c>
      <c r="D48" t="s">
        <v>193</v>
      </c>
      <c r="E48" t="s">
        <v>432</v>
      </c>
      <c r="F48" t="s">
        <v>367</v>
      </c>
      <c r="G48" t="s">
        <v>433</v>
      </c>
    </row>
    <row r="49" spans="1:7">
      <c r="A49" t="s">
        <v>434</v>
      </c>
      <c r="B49" t="s">
        <v>435</v>
      </c>
      <c r="C49" t="s">
        <v>436</v>
      </c>
      <c r="D49" t="s">
        <v>247</v>
      </c>
      <c r="E49" t="s">
        <v>437</v>
      </c>
      <c r="F49" t="s">
        <v>373</v>
      </c>
      <c r="G49" t="s">
        <v>438</v>
      </c>
    </row>
    <row r="50" spans="1:7">
      <c r="A50" t="s">
        <v>439</v>
      </c>
      <c r="B50" t="s">
        <v>440</v>
      </c>
      <c r="C50" t="s">
        <v>441</v>
      </c>
      <c r="D50" t="s">
        <v>193</v>
      </c>
      <c r="E50" t="s">
        <v>442</v>
      </c>
      <c r="F50" t="s">
        <v>373</v>
      </c>
      <c r="G50" t="s">
        <v>443</v>
      </c>
    </row>
    <row r="51" spans="1:7">
      <c r="A51" t="s">
        <v>444</v>
      </c>
      <c r="B51" t="s">
        <v>445</v>
      </c>
      <c r="C51" t="s">
        <v>446</v>
      </c>
      <c r="D51" t="s">
        <v>210</v>
      </c>
      <c r="E51" t="s">
        <v>447</v>
      </c>
      <c r="F51" t="s">
        <v>367</v>
      </c>
      <c r="G51" t="s">
        <v>448</v>
      </c>
    </row>
    <row r="52" spans="1:7">
      <c r="A52" t="s">
        <v>449</v>
      </c>
      <c r="B52" t="s">
        <v>450</v>
      </c>
      <c r="C52" t="s">
        <v>451</v>
      </c>
      <c r="D52" t="s">
        <v>229</v>
      </c>
      <c r="E52" t="s">
        <v>452</v>
      </c>
      <c r="F52" t="s">
        <v>340</v>
      </c>
      <c r="G52" t="s">
        <v>453</v>
      </c>
    </row>
    <row r="53" spans="1:7">
      <c r="A53" t="s">
        <v>454</v>
      </c>
      <c r="B53" t="s">
        <v>455</v>
      </c>
      <c r="C53" t="s">
        <v>456</v>
      </c>
      <c r="D53" t="s">
        <v>258</v>
      </c>
      <c r="E53" t="s">
        <v>457</v>
      </c>
      <c r="F53" t="s">
        <v>458</v>
      </c>
      <c r="G53" t="s">
        <v>459</v>
      </c>
    </row>
    <row r="54" spans="1:7">
      <c r="A54" t="s">
        <v>460</v>
      </c>
      <c r="B54" t="s">
        <v>461</v>
      </c>
      <c r="C54" t="s">
        <v>462</v>
      </c>
      <c r="D54" t="s">
        <v>310</v>
      </c>
      <c r="E54" t="s">
        <v>463</v>
      </c>
      <c r="F54" t="s">
        <v>249</v>
      </c>
      <c r="G54" t="s">
        <v>464</v>
      </c>
    </row>
    <row r="55" spans="1:7">
      <c r="A55" t="s">
        <v>465</v>
      </c>
      <c r="B55" t="s">
        <v>466</v>
      </c>
      <c r="C55" t="s">
        <v>467</v>
      </c>
      <c r="D55" t="s">
        <v>310</v>
      </c>
      <c r="E55" t="s">
        <v>468</v>
      </c>
      <c r="F55" t="s">
        <v>224</v>
      </c>
      <c r="G55" t="s">
        <v>469</v>
      </c>
    </row>
    <row r="56" spans="1:7">
      <c r="A56" t="s">
        <v>470</v>
      </c>
      <c r="B56" t="s">
        <v>471</v>
      </c>
      <c r="C56" t="s">
        <v>472</v>
      </c>
      <c r="D56" t="s">
        <v>279</v>
      </c>
      <c r="E56" t="s">
        <v>204</v>
      </c>
      <c r="F56" t="s">
        <v>205</v>
      </c>
      <c r="G56" t="s">
        <v>473</v>
      </c>
    </row>
    <row r="57" spans="1:7">
      <c r="A57" t="s">
        <v>474</v>
      </c>
      <c r="B57" t="s">
        <v>475</v>
      </c>
      <c r="C57" t="s">
        <v>476</v>
      </c>
      <c r="D57" t="s">
        <v>258</v>
      </c>
      <c r="E57" t="s">
        <v>259</v>
      </c>
      <c r="F57" t="s">
        <v>260</v>
      </c>
      <c r="G57" t="s">
        <v>477</v>
      </c>
    </row>
    <row r="58" spans="1:7">
      <c r="A58" t="s">
        <v>478</v>
      </c>
      <c r="B58" t="s">
        <v>479</v>
      </c>
      <c r="C58" t="s">
        <v>480</v>
      </c>
      <c r="D58" t="s">
        <v>186</v>
      </c>
      <c r="E58" t="s">
        <v>481</v>
      </c>
      <c r="F58" t="s">
        <v>367</v>
      </c>
      <c r="G58" t="s">
        <v>482</v>
      </c>
    </row>
    <row r="59" spans="1:7">
      <c r="A59" t="s">
        <v>483</v>
      </c>
      <c r="B59" t="s">
        <v>484</v>
      </c>
      <c r="C59" t="s">
        <v>485</v>
      </c>
      <c r="D59" t="s">
        <v>193</v>
      </c>
      <c r="E59" t="s">
        <v>486</v>
      </c>
      <c r="F59" t="s">
        <v>224</v>
      </c>
      <c r="G59" t="s">
        <v>487</v>
      </c>
    </row>
    <row r="60" spans="1:7">
      <c r="A60" t="s">
        <v>488</v>
      </c>
      <c r="B60" t="s">
        <v>489</v>
      </c>
      <c r="C60" t="s">
        <v>490</v>
      </c>
      <c r="D60" t="s">
        <v>193</v>
      </c>
      <c r="E60" t="s">
        <v>491</v>
      </c>
      <c r="F60" t="s">
        <v>231</v>
      </c>
      <c r="G60" t="s">
        <v>492</v>
      </c>
    </row>
    <row r="61" spans="1:7">
      <c r="A61" t="s">
        <v>493</v>
      </c>
      <c r="B61" t="s">
        <v>494</v>
      </c>
      <c r="C61" t="s">
        <v>495</v>
      </c>
      <c r="D61" t="s">
        <v>186</v>
      </c>
      <c r="E61" t="s">
        <v>194</v>
      </c>
      <c r="F61" t="s">
        <v>195</v>
      </c>
      <c r="G61" t="s">
        <v>496</v>
      </c>
    </row>
    <row r="62" spans="1:7">
      <c r="A62" t="s">
        <v>497</v>
      </c>
      <c r="B62" t="s">
        <v>498</v>
      </c>
      <c r="C62" t="s">
        <v>499</v>
      </c>
      <c r="D62" t="s">
        <v>210</v>
      </c>
      <c r="E62" t="s">
        <v>500</v>
      </c>
      <c r="F62" t="s">
        <v>305</v>
      </c>
      <c r="G62" t="s">
        <v>501</v>
      </c>
    </row>
    <row r="63" spans="1:7">
      <c r="A63" t="s">
        <v>502</v>
      </c>
      <c r="B63" t="s">
        <v>503</v>
      </c>
      <c r="C63" t="s">
        <v>504</v>
      </c>
      <c r="D63" t="s">
        <v>186</v>
      </c>
      <c r="E63" t="s">
        <v>345</v>
      </c>
      <c r="F63" t="s">
        <v>346</v>
      </c>
      <c r="G63" t="s">
        <v>505</v>
      </c>
    </row>
    <row r="64" spans="1:7">
      <c r="A64" t="s">
        <v>506</v>
      </c>
      <c r="B64" t="s">
        <v>507</v>
      </c>
      <c r="C64" t="s">
        <v>508</v>
      </c>
      <c r="D64" t="s">
        <v>247</v>
      </c>
      <c r="E64" t="s">
        <v>377</v>
      </c>
      <c r="F64" t="s">
        <v>281</v>
      </c>
      <c r="G64" t="s">
        <v>509</v>
      </c>
    </row>
    <row r="65" spans="1:7">
      <c r="A65" t="s">
        <v>510</v>
      </c>
      <c r="B65" t="s">
        <v>511</v>
      </c>
      <c r="C65" t="s">
        <v>512</v>
      </c>
      <c r="D65" t="s">
        <v>310</v>
      </c>
      <c r="E65" t="s">
        <v>280</v>
      </c>
      <c r="F65" t="s">
        <v>281</v>
      </c>
      <c r="G65" t="s">
        <v>513</v>
      </c>
    </row>
    <row r="66" spans="1:7">
      <c r="A66" t="s">
        <v>514</v>
      </c>
      <c r="B66" t="s">
        <v>515</v>
      </c>
      <c r="C66" t="s">
        <v>516</v>
      </c>
      <c r="D66" t="s">
        <v>247</v>
      </c>
      <c r="E66" t="s">
        <v>517</v>
      </c>
      <c r="F66" t="s">
        <v>224</v>
      </c>
      <c r="G66" t="s">
        <v>518</v>
      </c>
    </row>
    <row r="67" spans="1:7">
      <c r="A67" t="s">
        <v>519</v>
      </c>
      <c r="B67" t="s">
        <v>520</v>
      </c>
      <c r="C67" t="s">
        <v>521</v>
      </c>
      <c r="D67" t="s">
        <v>186</v>
      </c>
      <c r="E67" t="s">
        <v>259</v>
      </c>
      <c r="F67" t="s">
        <v>260</v>
      </c>
      <c r="G67" t="s">
        <v>522</v>
      </c>
    </row>
    <row r="68" spans="1:7">
      <c r="A68" t="s">
        <v>523</v>
      </c>
      <c r="B68" t="s">
        <v>524</v>
      </c>
      <c r="C68" t="s">
        <v>525</v>
      </c>
      <c r="D68" t="s">
        <v>526</v>
      </c>
      <c r="E68" t="s">
        <v>527</v>
      </c>
      <c r="F68" t="s">
        <v>367</v>
      </c>
      <c r="G68" t="s">
        <v>528</v>
      </c>
    </row>
    <row r="69" spans="1:7">
      <c r="A69" t="s">
        <v>529</v>
      </c>
      <c r="B69" t="s">
        <v>530</v>
      </c>
      <c r="C69" t="s">
        <v>531</v>
      </c>
      <c r="D69" t="s">
        <v>279</v>
      </c>
      <c r="E69" t="s">
        <v>532</v>
      </c>
      <c r="F69" t="s">
        <v>340</v>
      </c>
      <c r="G69" t="s">
        <v>533</v>
      </c>
    </row>
    <row r="70" spans="1:7">
      <c r="A70" t="s">
        <v>534</v>
      </c>
      <c r="B70" t="s">
        <v>535</v>
      </c>
      <c r="C70" t="s">
        <v>536</v>
      </c>
      <c r="D70" t="s">
        <v>319</v>
      </c>
      <c r="E70" t="s">
        <v>377</v>
      </c>
      <c r="F70" t="s">
        <v>281</v>
      </c>
      <c r="G70" t="s">
        <v>537</v>
      </c>
    </row>
    <row r="71" spans="1:7">
      <c r="A71" t="s">
        <v>40</v>
      </c>
      <c r="B71" t="s">
        <v>538</v>
      </c>
      <c r="C71" t="s">
        <v>539</v>
      </c>
      <c r="D71" t="s">
        <v>210</v>
      </c>
      <c r="E71" t="s">
        <v>540</v>
      </c>
      <c r="F71" t="s">
        <v>274</v>
      </c>
      <c r="G71" t="s">
        <v>541</v>
      </c>
    </row>
    <row r="72" spans="1:7">
      <c r="A72" t="s">
        <v>542</v>
      </c>
      <c r="B72" t="s">
        <v>543</v>
      </c>
      <c r="C72" t="s">
        <v>544</v>
      </c>
      <c r="D72" t="s">
        <v>247</v>
      </c>
      <c r="E72" t="s">
        <v>236</v>
      </c>
      <c r="F72" t="s">
        <v>237</v>
      </c>
      <c r="G72" t="s">
        <v>545</v>
      </c>
    </row>
    <row r="73" spans="1:7">
      <c r="A73" t="s">
        <v>546</v>
      </c>
      <c r="B73" t="s">
        <v>547</v>
      </c>
      <c r="C73" t="s">
        <v>548</v>
      </c>
      <c r="D73" t="s">
        <v>193</v>
      </c>
      <c r="E73" t="s">
        <v>549</v>
      </c>
      <c r="F73" t="s">
        <v>550</v>
      </c>
      <c r="G73" t="s">
        <v>551</v>
      </c>
    </row>
    <row r="74" spans="1:7">
      <c r="A74" t="s">
        <v>552</v>
      </c>
      <c r="B74" t="s">
        <v>553</v>
      </c>
      <c r="C74" t="s">
        <v>554</v>
      </c>
      <c r="D74" t="s">
        <v>186</v>
      </c>
      <c r="E74" t="s">
        <v>555</v>
      </c>
      <c r="F74" t="s">
        <v>367</v>
      </c>
      <c r="G74" t="s">
        <v>556</v>
      </c>
    </row>
    <row r="75" spans="1:7">
      <c r="A75" t="s">
        <v>557</v>
      </c>
      <c r="B75" t="s">
        <v>558</v>
      </c>
      <c r="C75" t="s">
        <v>559</v>
      </c>
      <c r="D75" t="s">
        <v>247</v>
      </c>
      <c r="E75" t="s">
        <v>560</v>
      </c>
      <c r="F75" t="s">
        <v>188</v>
      </c>
      <c r="G75" t="s">
        <v>561</v>
      </c>
    </row>
    <row r="76" spans="1:7">
      <c r="A76" t="s">
        <v>562</v>
      </c>
      <c r="B76" t="s">
        <v>563</v>
      </c>
      <c r="C76" t="s">
        <v>564</v>
      </c>
      <c r="D76" t="s">
        <v>210</v>
      </c>
      <c r="E76" t="s">
        <v>204</v>
      </c>
      <c r="F76" t="s">
        <v>205</v>
      </c>
      <c r="G76" t="s">
        <v>565</v>
      </c>
    </row>
    <row r="77" spans="1:7">
      <c r="A77" t="s">
        <v>566</v>
      </c>
      <c r="B77" t="s">
        <v>567</v>
      </c>
      <c r="C77" t="s">
        <v>568</v>
      </c>
      <c r="D77" t="s">
        <v>193</v>
      </c>
      <c r="E77" t="s">
        <v>569</v>
      </c>
      <c r="F77" t="s">
        <v>570</v>
      </c>
      <c r="G77" t="s">
        <v>571</v>
      </c>
    </row>
    <row r="78" spans="1:7">
      <c r="A78" t="s">
        <v>572</v>
      </c>
      <c r="B78" t="s">
        <v>573</v>
      </c>
      <c r="C78" t="s">
        <v>574</v>
      </c>
      <c r="D78" t="s">
        <v>229</v>
      </c>
      <c r="E78" t="s">
        <v>491</v>
      </c>
      <c r="F78" s="9" t="s">
        <v>231</v>
      </c>
      <c r="G78" t="s">
        <v>575</v>
      </c>
    </row>
    <row r="79" spans="1:7">
      <c r="A79" t="s">
        <v>576</v>
      </c>
      <c r="B79" t="s">
        <v>577</v>
      </c>
      <c r="C79" t="s">
        <v>578</v>
      </c>
      <c r="D79" t="s">
        <v>210</v>
      </c>
      <c r="E79" t="s">
        <v>579</v>
      </c>
      <c r="F79" s="9" t="s">
        <v>367</v>
      </c>
      <c r="G79" t="s">
        <v>580</v>
      </c>
    </row>
    <row r="80" spans="1:7">
      <c r="A80" t="s">
        <v>28</v>
      </c>
      <c r="B80" t="s">
        <v>581</v>
      </c>
      <c r="C80" t="s">
        <v>582</v>
      </c>
      <c r="D80" t="s">
        <v>247</v>
      </c>
      <c r="E80" t="s">
        <v>583</v>
      </c>
      <c r="F80" s="9" t="s">
        <v>458</v>
      </c>
      <c r="G80" t="s">
        <v>584</v>
      </c>
    </row>
    <row r="81" spans="1:7">
      <c r="A81" t="s">
        <v>585</v>
      </c>
      <c r="B81" t="s">
        <v>586</v>
      </c>
      <c r="C81" t="s">
        <v>587</v>
      </c>
      <c r="D81" t="s">
        <v>186</v>
      </c>
      <c r="E81" t="s">
        <v>560</v>
      </c>
      <c r="F81" s="9" t="s">
        <v>188</v>
      </c>
      <c r="G81" t="s">
        <v>588</v>
      </c>
    </row>
    <row r="82" spans="1:7">
      <c r="A82" t="s">
        <v>589</v>
      </c>
      <c r="B82" t="s">
        <v>590</v>
      </c>
      <c r="C82" t="s">
        <v>591</v>
      </c>
      <c r="D82" t="s">
        <v>210</v>
      </c>
      <c r="E82" t="s">
        <v>592</v>
      </c>
      <c r="F82" s="9" t="s">
        <v>188</v>
      </c>
      <c r="G82" t="s">
        <v>593</v>
      </c>
    </row>
    <row r="83" spans="1:7">
      <c r="A83" t="s">
        <v>594</v>
      </c>
      <c r="B83" t="s">
        <v>595</v>
      </c>
      <c r="C83" t="s">
        <v>596</v>
      </c>
      <c r="D83" t="s">
        <v>229</v>
      </c>
      <c r="E83" t="s">
        <v>447</v>
      </c>
      <c r="F83" s="9" t="s">
        <v>367</v>
      </c>
      <c r="G83" t="s">
        <v>597</v>
      </c>
    </row>
    <row r="84" spans="1:7">
      <c r="A84" t="s">
        <v>598</v>
      </c>
      <c r="B84" t="s">
        <v>599</v>
      </c>
      <c r="C84" t="s">
        <v>600</v>
      </c>
      <c r="D84" t="s">
        <v>310</v>
      </c>
      <c r="E84" t="s">
        <v>601</v>
      </c>
      <c r="F84" t="s">
        <v>367</v>
      </c>
      <c r="G84" t="s">
        <v>602</v>
      </c>
    </row>
    <row r="85" spans="1:7">
      <c r="A85" t="s">
        <v>16</v>
      </c>
      <c r="B85" t="s">
        <v>603</v>
      </c>
      <c r="C85" t="s">
        <v>604</v>
      </c>
      <c r="D85" t="s">
        <v>229</v>
      </c>
      <c r="E85" t="s">
        <v>605</v>
      </c>
      <c r="F85" t="s">
        <v>224</v>
      </c>
      <c r="G85" t="s">
        <v>606</v>
      </c>
    </row>
    <row r="86" spans="1:7">
      <c r="A86" t="s">
        <v>607</v>
      </c>
      <c r="B86" t="s">
        <v>608</v>
      </c>
      <c r="C86" t="s">
        <v>609</v>
      </c>
      <c r="D86" t="s">
        <v>193</v>
      </c>
      <c r="E86" t="s">
        <v>194</v>
      </c>
      <c r="F86" t="s">
        <v>195</v>
      </c>
      <c r="G86" t="s">
        <v>610</v>
      </c>
    </row>
    <row r="87" spans="1:7">
      <c r="A87" t="s">
        <v>611</v>
      </c>
      <c r="B87" t="s">
        <v>612</v>
      </c>
      <c r="C87" t="s">
        <v>613</v>
      </c>
      <c r="D87" t="s">
        <v>186</v>
      </c>
      <c r="E87" t="s">
        <v>280</v>
      </c>
      <c r="F87" t="s">
        <v>281</v>
      </c>
      <c r="G87" t="s">
        <v>614</v>
      </c>
    </row>
    <row r="88" spans="1:7">
      <c r="A88" t="s">
        <v>615</v>
      </c>
      <c r="B88" t="s">
        <v>616</v>
      </c>
      <c r="C88" t="s">
        <v>617</v>
      </c>
      <c r="D88" t="s">
        <v>279</v>
      </c>
      <c r="E88" t="s">
        <v>618</v>
      </c>
      <c r="F88" t="s">
        <v>367</v>
      </c>
      <c r="G88" t="s">
        <v>619</v>
      </c>
    </row>
    <row r="89" spans="1:7">
      <c r="A89" t="s">
        <v>620</v>
      </c>
      <c r="B89" t="s">
        <v>621</v>
      </c>
      <c r="C89" t="s">
        <v>622</v>
      </c>
      <c r="D89" t="s">
        <v>210</v>
      </c>
      <c r="E89" t="s">
        <v>623</v>
      </c>
      <c r="F89" t="s">
        <v>570</v>
      </c>
      <c r="G89" t="s">
        <v>624</v>
      </c>
    </row>
    <row r="90" spans="1:7">
      <c r="A90" t="s">
        <v>25</v>
      </c>
      <c r="B90" t="s">
        <v>625</v>
      </c>
      <c r="C90" t="s">
        <v>626</v>
      </c>
      <c r="D90" t="s">
        <v>258</v>
      </c>
      <c r="E90" t="s">
        <v>627</v>
      </c>
      <c r="F90" t="s">
        <v>231</v>
      </c>
      <c r="G90" t="s">
        <v>628</v>
      </c>
    </row>
    <row r="91" spans="1:7">
      <c r="A91" t="s">
        <v>629</v>
      </c>
      <c r="B91" t="s">
        <v>630</v>
      </c>
      <c r="C91" t="s">
        <v>631</v>
      </c>
      <c r="D91" t="s">
        <v>247</v>
      </c>
      <c r="E91" t="s">
        <v>632</v>
      </c>
      <c r="F91" t="s">
        <v>231</v>
      </c>
      <c r="G91" t="s">
        <v>633</v>
      </c>
    </row>
    <row r="92" spans="1:7">
      <c r="A92" t="s">
        <v>634</v>
      </c>
      <c r="B92" t="s">
        <v>635</v>
      </c>
      <c r="C92" t="s">
        <v>636</v>
      </c>
      <c r="D92" t="s">
        <v>186</v>
      </c>
      <c r="E92" t="s">
        <v>637</v>
      </c>
      <c r="F92" t="s">
        <v>224</v>
      </c>
      <c r="G92" t="s">
        <v>638</v>
      </c>
    </row>
    <row r="93" spans="1:7">
      <c r="A93" t="s">
        <v>639</v>
      </c>
      <c r="B93" t="s">
        <v>640</v>
      </c>
      <c r="C93" t="s">
        <v>641</v>
      </c>
      <c r="D93" t="s">
        <v>247</v>
      </c>
      <c r="E93" t="s">
        <v>642</v>
      </c>
      <c r="F93" t="s">
        <v>643</v>
      </c>
      <c r="G93" t="s">
        <v>644</v>
      </c>
    </row>
    <row r="94" spans="1:7">
      <c r="A94" t="s">
        <v>645</v>
      </c>
      <c r="B94" t="s">
        <v>646</v>
      </c>
      <c r="C94" t="s">
        <v>647</v>
      </c>
      <c r="D94" t="s">
        <v>210</v>
      </c>
      <c r="E94" t="s">
        <v>648</v>
      </c>
      <c r="F94" t="s">
        <v>281</v>
      </c>
      <c r="G94" t="s">
        <v>649</v>
      </c>
    </row>
    <row r="95" spans="1:7">
      <c r="A95" t="s">
        <v>650</v>
      </c>
      <c r="B95" t="s">
        <v>651</v>
      </c>
      <c r="C95" t="s">
        <v>652</v>
      </c>
      <c r="D95" t="s">
        <v>193</v>
      </c>
      <c r="E95" t="s">
        <v>653</v>
      </c>
      <c r="F95" t="s">
        <v>367</v>
      </c>
      <c r="G95" t="s">
        <v>654</v>
      </c>
    </row>
    <row r="96" spans="1:7">
      <c r="A96" t="s">
        <v>655</v>
      </c>
      <c r="B96" t="s">
        <v>656</v>
      </c>
      <c r="C96" t="s">
        <v>657</v>
      </c>
      <c r="D96" t="s">
        <v>658</v>
      </c>
      <c r="E96" t="s">
        <v>659</v>
      </c>
      <c r="F96" t="s">
        <v>643</v>
      </c>
      <c r="G96" t="s">
        <v>660</v>
      </c>
    </row>
    <row r="97" spans="1:7">
      <c r="A97" t="s">
        <v>661</v>
      </c>
      <c r="B97" t="s">
        <v>662</v>
      </c>
      <c r="C97" t="s">
        <v>663</v>
      </c>
      <c r="D97" t="s">
        <v>193</v>
      </c>
      <c r="E97" t="s">
        <v>664</v>
      </c>
      <c r="F97" t="s">
        <v>665</v>
      </c>
      <c r="G97" t="s">
        <v>666</v>
      </c>
    </row>
    <row r="98" spans="1:7">
      <c r="A98" t="s">
        <v>667</v>
      </c>
      <c r="B98" t="s">
        <v>668</v>
      </c>
      <c r="C98" t="s">
        <v>669</v>
      </c>
      <c r="D98" t="s">
        <v>186</v>
      </c>
      <c r="E98" t="s">
        <v>670</v>
      </c>
      <c r="F98" t="s">
        <v>188</v>
      </c>
      <c r="G98" t="s">
        <v>671</v>
      </c>
    </row>
  </sheetData>
  <pageMargins left="0.75" right="0.75" top="1" bottom="1" header="0.5" footer="0.5"/>
  <headerFooter alignWithMargins="0"/>
  <ignoredErrors>
    <ignoredError sqref="G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EB0A-6AEE-4C3D-9A31-51BE10FB7971}">
  <sheetPr>
    <tabColor rgb="FF9900CC"/>
  </sheetPr>
  <dimension ref="A1:H30"/>
  <sheetViews>
    <sheetView zoomScale="130" zoomScaleNormal="130" workbookViewId="0">
      <selection activeCell="B4" sqref="B4"/>
    </sheetView>
  </sheetViews>
  <sheetFormatPr defaultRowHeight="14.4"/>
  <cols>
    <col min="1" max="1" width="11" customWidth="1"/>
    <col min="2" max="2" width="38" customWidth="1"/>
    <col min="3" max="3" width="25.44140625" customWidth="1"/>
    <col min="4" max="4" width="26.44140625" customWidth="1"/>
    <col min="5" max="5" width="12" customWidth="1"/>
    <col min="6" max="7" width="14.44140625" customWidth="1"/>
    <col min="8" max="8" width="13.6640625" bestFit="1" customWidth="1"/>
  </cols>
  <sheetData>
    <row r="1" spans="1:8">
      <c r="A1" s="13" t="s">
        <v>46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183</v>
      </c>
      <c r="G1" s="13" t="s">
        <v>4</v>
      </c>
      <c r="H1" s="13" t="s">
        <v>672</v>
      </c>
    </row>
    <row r="2" spans="1:8">
      <c r="A2">
        <v>1</v>
      </c>
      <c r="B2" t="s">
        <v>673</v>
      </c>
      <c r="C2" t="s">
        <v>674</v>
      </c>
      <c r="D2" t="s">
        <v>675</v>
      </c>
      <c r="E2" t="s">
        <v>204</v>
      </c>
      <c r="F2" t="s">
        <v>205</v>
      </c>
      <c r="G2" t="s">
        <v>676</v>
      </c>
    </row>
    <row r="3" spans="1:8">
      <c r="A3">
        <v>2</v>
      </c>
      <c r="B3" t="s">
        <v>677</v>
      </c>
      <c r="C3" t="s">
        <v>678</v>
      </c>
      <c r="D3" t="s">
        <v>216</v>
      </c>
      <c r="E3" t="s">
        <v>679</v>
      </c>
      <c r="F3" t="s">
        <v>367</v>
      </c>
      <c r="G3" t="s">
        <v>680</v>
      </c>
    </row>
    <row r="4" spans="1:8">
      <c r="A4">
        <v>3</v>
      </c>
      <c r="B4" t="s">
        <v>681</v>
      </c>
      <c r="C4" t="s">
        <v>682</v>
      </c>
      <c r="D4" t="s">
        <v>186</v>
      </c>
      <c r="E4" t="s">
        <v>683</v>
      </c>
      <c r="F4" t="s">
        <v>367</v>
      </c>
      <c r="G4" t="s">
        <v>684</v>
      </c>
      <c r="H4" t="s">
        <v>685</v>
      </c>
    </row>
    <row r="5" spans="1:8">
      <c r="A5" s="10">
        <v>4</v>
      </c>
      <c r="B5" s="10" t="s">
        <v>686</v>
      </c>
      <c r="C5" t="s">
        <v>687</v>
      </c>
      <c r="D5" t="s">
        <v>229</v>
      </c>
      <c r="E5" t="s">
        <v>688</v>
      </c>
      <c r="F5" t="s">
        <v>689</v>
      </c>
      <c r="G5" t="s">
        <v>690</v>
      </c>
    </row>
    <row r="6" spans="1:8">
      <c r="A6">
        <v>5</v>
      </c>
      <c r="B6" t="s">
        <v>691</v>
      </c>
      <c r="C6" t="s">
        <v>692</v>
      </c>
      <c r="D6" t="s">
        <v>693</v>
      </c>
      <c r="E6" t="s">
        <v>694</v>
      </c>
      <c r="F6" t="s">
        <v>237</v>
      </c>
      <c r="G6" t="s">
        <v>695</v>
      </c>
    </row>
    <row r="7" spans="1:8">
      <c r="A7">
        <v>6</v>
      </c>
      <c r="B7" t="s">
        <v>696</v>
      </c>
      <c r="C7" t="s">
        <v>697</v>
      </c>
      <c r="D7" t="s">
        <v>698</v>
      </c>
      <c r="E7" t="s">
        <v>699</v>
      </c>
      <c r="F7" t="s">
        <v>689</v>
      </c>
      <c r="G7" t="s">
        <v>700</v>
      </c>
    </row>
    <row r="8" spans="1:8">
      <c r="A8">
        <v>7</v>
      </c>
      <c r="B8" t="s">
        <v>701</v>
      </c>
      <c r="C8" t="s">
        <v>702</v>
      </c>
      <c r="D8" t="s">
        <v>229</v>
      </c>
      <c r="E8" t="s">
        <v>703</v>
      </c>
      <c r="F8" t="s">
        <v>704</v>
      </c>
      <c r="G8" t="s">
        <v>705</v>
      </c>
      <c r="H8" t="s">
        <v>706</v>
      </c>
    </row>
    <row r="9" spans="1:8">
      <c r="A9">
        <v>8</v>
      </c>
      <c r="B9" t="s">
        <v>707</v>
      </c>
      <c r="C9" t="s">
        <v>708</v>
      </c>
      <c r="D9" t="s">
        <v>186</v>
      </c>
      <c r="E9" t="s">
        <v>709</v>
      </c>
      <c r="F9" t="s">
        <v>205</v>
      </c>
      <c r="G9" t="s">
        <v>710</v>
      </c>
    </row>
    <row r="10" spans="1:8">
      <c r="A10">
        <v>9</v>
      </c>
      <c r="B10" t="s">
        <v>711</v>
      </c>
      <c r="C10" t="s">
        <v>712</v>
      </c>
      <c r="D10" t="s">
        <v>258</v>
      </c>
      <c r="E10" t="s">
        <v>713</v>
      </c>
      <c r="F10" t="s">
        <v>218</v>
      </c>
      <c r="G10" t="s">
        <v>714</v>
      </c>
      <c r="H10" t="s">
        <v>715</v>
      </c>
    </row>
    <row r="11" spans="1:8">
      <c r="A11">
        <v>10</v>
      </c>
      <c r="B11" t="s">
        <v>716</v>
      </c>
      <c r="C11" t="s">
        <v>717</v>
      </c>
      <c r="D11" t="s">
        <v>229</v>
      </c>
      <c r="E11" t="s">
        <v>280</v>
      </c>
      <c r="F11" t="s">
        <v>281</v>
      </c>
      <c r="G11" t="s">
        <v>718</v>
      </c>
    </row>
    <row r="12" spans="1:8">
      <c r="A12">
        <v>11</v>
      </c>
      <c r="B12" t="s">
        <v>719</v>
      </c>
      <c r="C12" t="s">
        <v>720</v>
      </c>
      <c r="D12" t="s">
        <v>210</v>
      </c>
      <c r="E12" t="s">
        <v>721</v>
      </c>
      <c r="F12" t="s">
        <v>224</v>
      </c>
      <c r="G12" t="s">
        <v>722</v>
      </c>
    </row>
    <row r="13" spans="1:8">
      <c r="A13">
        <v>12</v>
      </c>
      <c r="B13" t="s">
        <v>723</v>
      </c>
      <c r="C13" t="s">
        <v>724</v>
      </c>
      <c r="D13" t="s">
        <v>725</v>
      </c>
      <c r="E13" t="s">
        <v>427</v>
      </c>
      <c r="F13" t="s">
        <v>224</v>
      </c>
      <c r="G13" t="s">
        <v>726</v>
      </c>
    </row>
    <row r="14" spans="1:8">
      <c r="A14">
        <v>13</v>
      </c>
      <c r="B14" t="s">
        <v>727</v>
      </c>
      <c r="C14" t="s">
        <v>728</v>
      </c>
      <c r="D14" t="s">
        <v>729</v>
      </c>
      <c r="E14" t="s">
        <v>730</v>
      </c>
      <c r="F14" t="s">
        <v>224</v>
      </c>
      <c r="G14" t="s">
        <v>731</v>
      </c>
      <c r="H14" t="s">
        <v>732</v>
      </c>
    </row>
    <row r="15" spans="1:8">
      <c r="A15">
        <v>14</v>
      </c>
      <c r="B15" t="s">
        <v>733</v>
      </c>
      <c r="C15" t="s">
        <v>734</v>
      </c>
      <c r="D15" t="s">
        <v>186</v>
      </c>
      <c r="E15" t="s">
        <v>735</v>
      </c>
      <c r="F15" t="s">
        <v>340</v>
      </c>
      <c r="G15" t="s">
        <v>736</v>
      </c>
      <c r="H15" t="s">
        <v>737</v>
      </c>
    </row>
    <row r="16" spans="1:8">
      <c r="A16">
        <v>15</v>
      </c>
      <c r="B16" t="s">
        <v>738</v>
      </c>
      <c r="C16" t="s">
        <v>739</v>
      </c>
      <c r="D16" t="s">
        <v>229</v>
      </c>
      <c r="E16" t="s">
        <v>740</v>
      </c>
      <c r="F16" t="s">
        <v>550</v>
      </c>
      <c r="G16" t="s">
        <v>741</v>
      </c>
    </row>
    <row r="17" spans="1:8">
      <c r="A17">
        <v>16</v>
      </c>
      <c r="B17" t="s">
        <v>742</v>
      </c>
      <c r="C17" t="s">
        <v>743</v>
      </c>
      <c r="D17" t="s">
        <v>744</v>
      </c>
      <c r="E17" t="s">
        <v>745</v>
      </c>
      <c r="F17" t="s">
        <v>367</v>
      </c>
      <c r="G17" t="s">
        <v>746</v>
      </c>
    </row>
    <row r="18" spans="1:8">
      <c r="A18">
        <v>17</v>
      </c>
      <c r="B18" t="s">
        <v>747</v>
      </c>
      <c r="C18" t="s">
        <v>748</v>
      </c>
      <c r="D18" t="s">
        <v>186</v>
      </c>
      <c r="E18" t="s">
        <v>749</v>
      </c>
      <c r="F18" t="s">
        <v>218</v>
      </c>
      <c r="G18" t="s">
        <v>750</v>
      </c>
    </row>
    <row r="19" spans="1:8">
      <c r="A19">
        <v>18</v>
      </c>
      <c r="B19" t="s">
        <v>751</v>
      </c>
      <c r="C19" t="s">
        <v>752</v>
      </c>
      <c r="D19" t="s">
        <v>210</v>
      </c>
      <c r="E19" t="s">
        <v>491</v>
      </c>
      <c r="F19" t="s">
        <v>231</v>
      </c>
      <c r="G19" t="s">
        <v>753</v>
      </c>
      <c r="H19" t="s">
        <v>754</v>
      </c>
    </row>
    <row r="20" spans="1:8">
      <c r="A20">
        <v>19</v>
      </c>
      <c r="B20" t="s">
        <v>755</v>
      </c>
      <c r="C20" t="s">
        <v>756</v>
      </c>
      <c r="D20" t="s">
        <v>757</v>
      </c>
      <c r="E20" t="s">
        <v>758</v>
      </c>
      <c r="F20" t="s">
        <v>367</v>
      </c>
      <c r="G20" t="s">
        <v>759</v>
      </c>
      <c r="H20" t="s">
        <v>760</v>
      </c>
    </row>
    <row r="21" spans="1:8">
      <c r="A21">
        <v>20</v>
      </c>
      <c r="B21" t="s">
        <v>761</v>
      </c>
      <c r="C21" t="s">
        <v>762</v>
      </c>
      <c r="D21" t="s">
        <v>193</v>
      </c>
      <c r="E21" t="s">
        <v>763</v>
      </c>
      <c r="F21" t="s">
        <v>763</v>
      </c>
      <c r="G21" t="s">
        <v>764</v>
      </c>
    </row>
    <row r="22" spans="1:8">
      <c r="A22">
        <v>21</v>
      </c>
      <c r="B22" t="s">
        <v>765</v>
      </c>
      <c r="C22" t="s">
        <v>766</v>
      </c>
      <c r="D22" t="s">
        <v>210</v>
      </c>
      <c r="E22" t="s">
        <v>767</v>
      </c>
      <c r="F22" t="s">
        <v>570</v>
      </c>
      <c r="G22" t="s">
        <v>768</v>
      </c>
      <c r="H22" t="s">
        <v>769</v>
      </c>
    </row>
    <row r="23" spans="1:8">
      <c r="A23">
        <v>22</v>
      </c>
      <c r="B23" t="s">
        <v>770</v>
      </c>
      <c r="C23" t="s">
        <v>771</v>
      </c>
      <c r="D23" t="s">
        <v>247</v>
      </c>
      <c r="E23" t="s">
        <v>772</v>
      </c>
      <c r="F23" t="s">
        <v>773</v>
      </c>
      <c r="G23" t="s">
        <v>774</v>
      </c>
      <c r="H23" t="s">
        <v>775</v>
      </c>
    </row>
    <row r="24" spans="1:8">
      <c r="A24">
        <v>23</v>
      </c>
      <c r="B24" t="s">
        <v>776</v>
      </c>
      <c r="C24" t="s">
        <v>777</v>
      </c>
      <c r="D24" t="s">
        <v>778</v>
      </c>
      <c r="E24" t="s">
        <v>779</v>
      </c>
      <c r="F24" t="s">
        <v>643</v>
      </c>
      <c r="G24" t="s">
        <v>780</v>
      </c>
    </row>
    <row r="25" spans="1:8">
      <c r="A25">
        <v>24</v>
      </c>
      <c r="B25" t="s">
        <v>781</v>
      </c>
      <c r="C25" t="s">
        <v>782</v>
      </c>
      <c r="D25" t="s">
        <v>186</v>
      </c>
      <c r="E25" t="s">
        <v>783</v>
      </c>
      <c r="F25" t="s">
        <v>704</v>
      </c>
      <c r="G25" t="s">
        <v>784</v>
      </c>
      <c r="H25" t="s">
        <v>785</v>
      </c>
    </row>
    <row r="26" spans="1:8">
      <c r="A26">
        <v>25</v>
      </c>
      <c r="B26" t="s">
        <v>786</v>
      </c>
      <c r="C26" t="s">
        <v>787</v>
      </c>
      <c r="D26" t="s">
        <v>229</v>
      </c>
      <c r="E26" t="s">
        <v>463</v>
      </c>
      <c r="F26" t="s">
        <v>249</v>
      </c>
      <c r="G26" t="s">
        <v>788</v>
      </c>
    </row>
    <row r="27" spans="1:8">
      <c r="A27">
        <v>26</v>
      </c>
      <c r="B27" t="s">
        <v>789</v>
      </c>
      <c r="C27" t="s">
        <v>790</v>
      </c>
      <c r="D27" t="s">
        <v>216</v>
      </c>
      <c r="E27" t="s">
        <v>791</v>
      </c>
      <c r="F27" t="s">
        <v>340</v>
      </c>
      <c r="G27" t="s">
        <v>792</v>
      </c>
      <c r="H27" t="s">
        <v>793</v>
      </c>
    </row>
    <row r="28" spans="1:8">
      <c r="A28">
        <v>27</v>
      </c>
      <c r="B28" t="s">
        <v>794</v>
      </c>
      <c r="C28" t="s">
        <v>795</v>
      </c>
      <c r="D28" t="s">
        <v>210</v>
      </c>
      <c r="E28" t="s">
        <v>796</v>
      </c>
      <c r="F28" t="s">
        <v>231</v>
      </c>
      <c r="G28" t="s">
        <v>797</v>
      </c>
    </row>
    <row r="29" spans="1:8">
      <c r="A29">
        <v>28</v>
      </c>
      <c r="B29" t="s">
        <v>798</v>
      </c>
      <c r="C29" t="s">
        <v>799</v>
      </c>
      <c r="D29" t="s">
        <v>186</v>
      </c>
      <c r="E29" t="s">
        <v>800</v>
      </c>
      <c r="F29" t="s">
        <v>231</v>
      </c>
      <c r="G29" t="s">
        <v>801</v>
      </c>
      <c r="H29" t="s">
        <v>802</v>
      </c>
    </row>
    <row r="30" spans="1:8">
      <c r="A30">
        <v>29</v>
      </c>
      <c r="B30" t="s">
        <v>803</v>
      </c>
      <c r="C30" t="s">
        <v>804</v>
      </c>
      <c r="D30" t="s">
        <v>247</v>
      </c>
      <c r="E30" t="s">
        <v>805</v>
      </c>
      <c r="F30" t="s">
        <v>249</v>
      </c>
      <c r="G30" t="s">
        <v>806</v>
      </c>
      <c r="H30" t="s">
        <v>807</v>
      </c>
    </row>
  </sheetData>
  <pageMargins left="0.75" right="0.75" top="1" bottom="1" header="0.5" footer="0.5"/>
  <pageSetup paperSize="9" orientation="portrait" horizontalDpi="0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EBED4EE2B9E46B8F8D8CB70BDE65C" ma:contentTypeVersion="15" ma:contentTypeDescription="Create a new document." ma:contentTypeScope="" ma:versionID="8299e38bb2dfbade7909c8bf3d93be44">
  <xsd:schema xmlns:xsd="http://www.w3.org/2001/XMLSchema" xmlns:xs="http://www.w3.org/2001/XMLSchema" xmlns:p="http://schemas.microsoft.com/office/2006/metadata/properties" xmlns:ns2="e45510eb-edc0-41da-a349-1aceedbefc5e" xmlns:ns3="439104c1-bb63-4538-acdc-26c6ffd545ed" targetNamespace="http://schemas.microsoft.com/office/2006/metadata/properties" ma:root="true" ma:fieldsID="331c530ac5a1b5505929ed7a32a72b2a" ns2:_="" ns3:_="">
    <xsd:import namespace="e45510eb-edc0-41da-a349-1aceedbefc5e"/>
    <xsd:import namespace="439104c1-bb63-4538-acdc-26c6ffd545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end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510eb-edc0-41da-a349-1aceedbef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Send" ma:index="18" nillable="true" ma:displayName="Send" ma:default="0" ma:format="Dropdown" ma:internalName="Sen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3275db3-3344-4320-b393-c855d459c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104c1-bb63-4538-acdc-26c6ffd545e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36bb2e1-8558-40a6-acd7-9b8aa501cdc3}" ma:internalName="TaxCatchAll" ma:showField="CatchAllData" ma:web="439104c1-bb63-4538-acdc-26c6ffd54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d xmlns="e45510eb-edc0-41da-a349-1aceedbefc5e">false</Send>
    <lcf76f155ced4ddcb4097134ff3c332f xmlns="e45510eb-edc0-41da-a349-1aceedbefc5e">
      <Terms xmlns="http://schemas.microsoft.com/office/infopath/2007/PartnerControls"/>
    </lcf76f155ced4ddcb4097134ff3c332f>
    <TaxCatchAll xmlns="439104c1-bb63-4538-acdc-26c6ffd545ed" xsi:nil="true"/>
  </documentManagement>
</p:properties>
</file>

<file path=customXml/itemProps1.xml><?xml version="1.0" encoding="utf-8"?>
<ds:datastoreItem xmlns:ds="http://schemas.openxmlformats.org/officeDocument/2006/customXml" ds:itemID="{AD53D589-F5D1-4433-BBDA-CE9114B08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5510eb-edc0-41da-a349-1aceedbefc5e"/>
    <ds:schemaRef ds:uri="439104c1-bb63-4538-acdc-26c6ffd545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AB9B23-DFB9-4B57-8B45-C476B184F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B3E928-1810-40EB-946C-47BB530E618D}">
  <ds:schemaRefs>
    <ds:schemaRef ds:uri="http://schemas.microsoft.com/office/2006/metadata/properties"/>
    <ds:schemaRef ds:uri="http://schemas.microsoft.com/office/infopath/2007/PartnerControls"/>
    <ds:schemaRef ds:uri="e45510eb-edc0-41da-a349-1aceedbefc5e"/>
    <ds:schemaRef ds:uri="439104c1-bb63-4538-acdc-26c6ffd545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9EXPERT ORDERS</vt:lpstr>
      <vt:lpstr>PRODUCTS</vt:lpstr>
      <vt:lpstr>CUSTOMERS</vt:lpstr>
      <vt:lpstr>SUPPLIERS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Chalaivate</dc:creator>
  <cp:keywords/>
  <dc:description/>
  <cp:lastModifiedBy>Chanakan Kanokmaneerat</cp:lastModifiedBy>
  <cp:revision/>
  <dcterms:created xsi:type="dcterms:W3CDTF">2023-02-22T10:31:53Z</dcterms:created>
  <dcterms:modified xsi:type="dcterms:W3CDTF">2025-11-26T15:35:29Z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0x010100AE8EBED4EE2B9E46B8F8D8CB70BDE65C</vt:lpwstr>
  </property>
</Properties>
</file>